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1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2.xml" ContentType="application/vnd.openxmlformats-officedocument.drawing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drawings/drawing16.xml" ContentType="application/vnd.openxmlformats-officedocument.drawing+xml"/>
  <Override PartName="/xl/charts/chart2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7.xml" ContentType="application/vnd.openxmlformats-officedocument.drawing+xml"/>
  <Override PartName="/xl/ctrlProps/ctrlProp1.xml" ContentType="application/vnd.ms-excel.controlproperties+xml"/>
  <Override PartName="/xl/charts/chart2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8.xml" ContentType="application/vnd.openxmlformats-officedocument.drawing+xml"/>
  <Override PartName="/xl/ctrlProps/ctrlProp2.xml" ContentType="application/vnd.ms-excel.controlproperties+xml"/>
  <Override PartName="/xl/charts/chart2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1eb35732ee84e3/Desktop/"/>
    </mc:Choice>
  </mc:AlternateContent>
  <xr:revisionPtr revIDLastSave="565" documentId="13_ncr:1_{89D8AE22-BCC5-4348-8B98-53B0C94A2190}" xr6:coauthVersionLast="47" xr6:coauthVersionMax="47" xr10:uidLastSave="{CA98D8C2-E807-48DF-BF76-697ED9746A42}"/>
  <bookViews>
    <workbookView xWindow="-108" yWindow="-108" windowWidth="23256" windowHeight="12456" firstSheet="18" activeTab="18" xr2:uid="{D61EC556-4D1F-47F7-A9DC-769AF3FB509A}"/>
  </bookViews>
  <sheets>
    <sheet name="Column Chart Ex1" sheetId="1" r:id="rId1"/>
    <sheet name="Dynamic Chart" sheetId="2" r:id="rId2"/>
    <sheet name="Line Chart" sheetId="3" r:id="rId3"/>
    <sheet name="Secondary Axis" sheetId="4" r:id="rId4"/>
    <sheet name="Pie Chart" sheetId="5" r:id="rId5"/>
    <sheet name="Combo Chart" sheetId="20" r:id="rId6"/>
    <sheet name="Half-Circle-KPI" sheetId="6" r:id="rId7"/>
    <sheet name="Progress circle chart KPI" sheetId="7" r:id="rId8"/>
    <sheet name="Column Chart Ex2" sheetId="11" r:id="rId9"/>
    <sheet name="Bar Chart" sheetId="12" r:id="rId10"/>
    <sheet name="3D Line chart" sheetId="13" r:id="rId11"/>
    <sheet name="Thermometer Chart" sheetId="14" r:id="rId12"/>
    <sheet name="Sheet1" sheetId="21" r:id="rId13"/>
    <sheet name="Speedometer" sheetId="15" r:id="rId14"/>
    <sheet name="Sheet2" sheetId="22" r:id="rId15"/>
    <sheet name="Funnel chart" sheetId="19" r:id="rId16"/>
    <sheet name="Combobox" sheetId="16" r:id="rId17"/>
    <sheet name="Combobox Practice)" sheetId="17" r:id="rId18"/>
    <sheet name="Covid - 19" sheetId="26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a">#REF!</definedName>
    <definedName name="ABC">#REF!</definedName>
    <definedName name="b">#REF!</definedName>
    <definedName name="circ">#REF!</definedName>
    <definedName name="CodeList">'[1]In List'!$C$2:$C$4</definedName>
    <definedName name="codes">'[2]Conditional format  A1'!#REF!</definedName>
    <definedName name="codes1">'[2]Conditional format  A1'!#REF!</definedName>
    <definedName name="COGS">'[3]Scenario Manager'!$B$4</definedName>
    <definedName name="Courses">[4]!tblCourseList[TITLE]</definedName>
    <definedName name="das">[5]Scenarios!$B$14</definedName>
    <definedName name="data">[6]Data!$B$7:$K$107</definedName>
    <definedName name="dataSet">#REF!</definedName>
    <definedName name="Days">ROW(INDIRECT("1:31"))</definedName>
    <definedName name="dec">#REF!</definedName>
    <definedName name="Dep.Exp.">'[3]Scenario Manager'!$B$6</definedName>
    <definedName name="dyn_budget">OFFSET('[7]Dynamic Ranges and Charts'!$B$5,1,2,COUNTA('[7]Dynamic Ranges and Charts'!$B$6:$B$17),1)</definedName>
    <definedName name="dyn_lastn_dates">OFFSET('[7]Dynamic Ranges and Charts'!$B$29,COUNTA('[7]Dynamic Ranges and Charts'!$B$29:$B$213)-n,0,n,1)</definedName>
    <definedName name="dyn_lastn_values">OFFSET('[7]Dynamic Ranges and Charts'!$B$29,COUNTA('[7]Dynamic Ranges and Charts'!$B$29:$B$213)-n,1,n,1)</definedName>
    <definedName name="dyn_range">OFFSET('[7]Dynamic Ranges'!$B$5,0,0,COUNTA(!$B$5:$B$100),3)</definedName>
    <definedName name="dyn_salary">OFFSET('[7]Dynamic Ranges and Charts'!$B$5,1,1,COUNTA('[7]Dynamic Ranges and Charts'!$B$6:$B$17),1)</definedName>
    <definedName name="EBIT">'[3]Scenario Manager'!$B$7</definedName>
    <definedName name="EDR">#REF!</definedName>
    <definedName name="EDS">#REF!</definedName>
    <definedName name="Employees">[4]!tblEmployeeInfo[NAME]</definedName>
    <definedName name="Expenses">'[3]Scenario Manager'!$B$5</definedName>
    <definedName name="Hourly_labor_cost">'[8]Scenario Mgr.'!$B$4</definedName>
    <definedName name="income">'[9]Worksheet-1'!$B$2:$F$2</definedName>
    <definedName name="Increments">#REF!</definedName>
    <definedName name="Int.Exp.">'[3]Scenario Manager'!$B$9</definedName>
    <definedName name="InventoryPart">'[10]Assumptions for DV'!$A$2:$A$17</definedName>
    <definedName name="jan">#REF!</definedName>
    <definedName name="KCosts_9">#REF!</definedName>
    <definedName name="lastname">[9]Sheet1!$A$3:$A$150</definedName>
    <definedName name="lettergrade">#REF!</definedName>
    <definedName name="list1">'[11]WB 1'!$A$1:$E$1</definedName>
    <definedName name="Material_cost">'[8]Scenario Mgr.'!$B$5</definedName>
    <definedName name="MY">#REF!</definedName>
    <definedName name="n">'[7]Dynamic Ranges and Charts'!$D$30</definedName>
    <definedName name="name">#REF!</definedName>
    <definedName name="Net_Sales">#REF!</definedName>
    <definedName name="Number_mailed">'[8]Data Table Ex2'!$B$6</definedName>
    <definedName name="Pivot_tbl">OFFSET(#REF!,0,0,COUNTA(#REF!),COUNTA(#REF!))</definedName>
    <definedName name="policyno">[9]Sheet1!$C$3:$C$150</definedName>
    <definedName name="PPE_life">[12]Offset!$J$11</definedName>
    <definedName name="PreTaxIncome">'[3]Scenario Manager'!$B$10</definedName>
    <definedName name="Product">#REF!</definedName>
    <definedName name="ProductA_Profit">#REF!</definedName>
    <definedName name="ProductB_Profit">#REF!</definedName>
    <definedName name="ProductC_Profit">#REF!</definedName>
    <definedName name="profit">#REF!</definedName>
    <definedName name="Profit___Loss">#REF!</definedName>
    <definedName name="Profit_Product_A">[5]Scenarios!$B$12</definedName>
    <definedName name="Profit_Product_B">[5]Scenarios!$C$12</definedName>
    <definedName name="Profit_Product_C">[5]Scenarios!$D$12</definedName>
    <definedName name="profits">[5]Scenarios!$B$12:$D$12</definedName>
    <definedName name="province">'[9]Worksheet-1'!$A$3:$A$11</definedName>
    <definedName name="quarterly_rates">#REF!</definedName>
    <definedName name="Range1">'[13]Worksheet 2'!#REF!</definedName>
    <definedName name="Region">#REF!</definedName>
    <definedName name="Sales">'[3]Scenario Manager'!$B$3</definedName>
    <definedName name="Salesman">#REF!</definedName>
    <definedName name="Shop1">#REF!</definedName>
    <definedName name="Shop2">#REF!</definedName>
    <definedName name="Shop3">#REF!</definedName>
    <definedName name="Shop4">#REF!</definedName>
    <definedName name="Shop5">#REF!</definedName>
    <definedName name="Start_10">#REF!</definedName>
    <definedName name="Start_16">#REF!</definedName>
    <definedName name="Start_18">#REF!</definedName>
    <definedName name="Start_19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te">'[14]Dynamic Data Validation'!$D$1:$G$1</definedName>
    <definedName name="StoreRoom">#REF!</definedName>
    <definedName name="t">#REF!</definedName>
    <definedName name="Tax">'[15]Error Ex2'!#REF!</definedName>
    <definedName name="TaxExp.">'[3]Scenario Manager'!$B$12</definedName>
    <definedName name="taxrate">'[9]Worksheet-1'!$B$3:$F$11</definedName>
    <definedName name="Total_Profit">[5]Scenarios!$B$14</definedName>
    <definedName name="x">#REF!</definedName>
    <definedName name="y">#REF!</definedName>
    <definedName name="Ye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17" l="1" a="1"/>
  <c r="I10" i="17" s="1"/>
  <c r="I22" i="17" a="1"/>
  <c r="I22" i="17" s="1"/>
  <c r="I21" i="17" a="1"/>
  <c r="I21" i="17" s="1"/>
  <c r="I20" i="17" a="1"/>
  <c r="I20" i="17" s="1"/>
  <c r="I19" i="17" a="1"/>
  <c r="I19" i="17" s="1"/>
  <c r="I18" i="17" a="1"/>
  <c r="I18" i="17" s="1"/>
  <c r="I17" i="17" a="1"/>
  <c r="I17" i="17" s="1"/>
  <c r="I16" i="17" a="1"/>
  <c r="I16" i="17" s="1"/>
  <c r="I15" i="17" a="1"/>
  <c r="I15" i="17" s="1"/>
  <c r="I14" i="17" a="1"/>
  <c r="I14" i="17" s="1"/>
  <c r="I13" i="17" a="1"/>
  <c r="I13" i="17" s="1"/>
  <c r="I12" i="17" a="1"/>
  <c r="I12" i="17" s="1"/>
  <c r="I11" i="17" a="1"/>
  <c r="I11" i="17" s="1"/>
  <c r="F9" i="22"/>
  <c r="E4" i="22"/>
  <c r="B6" i="22"/>
  <c r="B19" i="21"/>
  <c r="E18" i="21" s="1"/>
  <c r="D39" i="20"/>
  <c r="D40" i="20"/>
  <c r="D41" i="20"/>
  <c r="D42" i="20"/>
  <c r="D43" i="20"/>
  <c r="D44" i="20"/>
  <c r="D45" i="20"/>
  <c r="D46" i="20"/>
  <c r="D47" i="20"/>
  <c r="D48" i="20"/>
  <c r="D49" i="20"/>
  <c r="D38" i="20"/>
  <c r="C39" i="20"/>
  <c r="C40" i="20"/>
  <c r="C41" i="20"/>
  <c r="C42" i="20"/>
  <c r="C43" i="20"/>
  <c r="C44" i="20"/>
  <c r="C45" i="20"/>
  <c r="C46" i="20"/>
  <c r="C47" i="20"/>
  <c r="C48" i="20"/>
  <c r="C49" i="20"/>
  <c r="C38" i="20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B8" i="15" l="1"/>
  <c r="E4" i="15"/>
  <c r="E6" i="15" s="1"/>
  <c r="B23" i="14"/>
  <c r="B21" i="14"/>
  <c r="C3" i="7"/>
  <c r="C2" i="7"/>
  <c r="C1" i="7"/>
  <c r="C3" i="6"/>
  <c r="D3" i="6" s="1"/>
  <c r="C2" i="6"/>
  <c r="D2" i="6" s="1"/>
  <c r="C1" i="6"/>
  <c r="D1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<sst xmlns="http://schemas.openxmlformats.org/spreadsheetml/2006/main" count="679" uniqueCount="365">
  <si>
    <t>Customer Satisfaction by Age Group</t>
  </si>
  <si>
    <t>Percent 'Very Satisfied' by customer age</t>
  </si>
  <si>
    <t>Month</t>
  </si>
  <si>
    <t>&lt; 30</t>
  </si>
  <si>
    <t>30-49</t>
  </si>
  <si>
    <t>50+</t>
  </si>
  <si>
    <t>Jan</t>
  </si>
  <si>
    <t>Feb</t>
  </si>
  <si>
    <t>Mar</t>
  </si>
  <si>
    <t>Apr</t>
  </si>
  <si>
    <t>May</t>
  </si>
  <si>
    <t>Jun</t>
  </si>
  <si>
    <t>Yearly Performance</t>
  </si>
  <si>
    <t>Sales</t>
  </si>
  <si>
    <t>Profit</t>
  </si>
  <si>
    <t>Profit Margin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</si>
  <si>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</si>
  <si>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</si>
  <si>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</si>
  <si>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</si>
  <si>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</si>
  <si>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</si>
  <si>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</si>
  <si>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</si>
  <si>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</si>
  <si>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</si>
  <si>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</si>
  <si>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june</t>
  </si>
  <si>
    <t>july</t>
  </si>
  <si>
    <t>Daily Sales</t>
  </si>
  <si>
    <t>National R&amp;D expenditures, by source of funds: 1953–2000</t>
  </si>
  <si>
    <t>Industry</t>
  </si>
  <si>
    <t>Federal</t>
  </si>
  <si>
    <t>Other</t>
  </si>
  <si>
    <t>Version</t>
  </si>
  <si>
    <t>Number of users</t>
  </si>
  <si>
    <t>Securtiy Level</t>
  </si>
  <si>
    <t>Quality Score</t>
  </si>
  <si>
    <t>Sales Conversion</t>
  </si>
  <si>
    <t>Productivity%</t>
  </si>
  <si>
    <t>Sales Conversion%</t>
  </si>
  <si>
    <t>Year</t>
  </si>
  <si>
    <t>Middle</t>
  </si>
  <si>
    <t>Widgets</t>
  </si>
  <si>
    <t>Sprockets</t>
  </si>
  <si>
    <t>Item</t>
  </si>
  <si>
    <t>Strongly
Agree</t>
  </si>
  <si>
    <t>Agree</t>
  </si>
  <si>
    <t>Undecided</t>
  </si>
  <si>
    <t>Disagree</t>
  </si>
  <si>
    <t>Strongly
Disagree</t>
  </si>
  <si>
    <t>Store locations are convenient</t>
  </si>
  <si>
    <t>Store hours are convenient</t>
  </si>
  <si>
    <t>Stores are well-maintained</t>
  </si>
  <si>
    <t>I like your web site</t>
  </si>
  <si>
    <t>Employees are friendly</t>
  </si>
  <si>
    <t>You have a good selection of products</t>
  </si>
  <si>
    <t>I like your TV ads</t>
  </si>
  <si>
    <t>You sell quality products</t>
  </si>
  <si>
    <t>Overall, I am satisfied</t>
  </si>
  <si>
    <t>I would recommend your company</t>
  </si>
  <si>
    <t>Population Projections (in thousands)</t>
  </si>
  <si>
    <t>California</t>
  </si>
  <si>
    <t>Oregon</t>
  </si>
  <si>
    <t>Washington</t>
  </si>
  <si>
    <t>Day</t>
  </si>
  <si>
    <t>New Customer</t>
  </si>
  <si>
    <t>thermometer chart</t>
  </si>
  <si>
    <t>Day 1</t>
  </si>
  <si>
    <t>A “thermometer” type display shows the percentage of a task that has been completed.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</si>
  <si>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</si>
  <si>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</si>
  <si>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</si>
  <si>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</si>
  <si>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</si>
  <si>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</si>
  <si>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</si>
  <si>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</si>
  <si>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</si>
  <si>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</si>
  <si>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</si>
  <si>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</si>
  <si>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</si>
  <si>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</si>
  <si>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Goal</t>
  </si>
  <si>
    <t>Total</t>
  </si>
  <si>
    <t>Doughnut</t>
  </si>
  <si>
    <t>Pie</t>
  </si>
  <si>
    <t>Start</t>
  </si>
  <si>
    <t>Value</t>
  </si>
  <si>
    <t>Initial</t>
  </si>
  <si>
    <t>Pointer</t>
  </si>
  <si>
    <t>End</t>
  </si>
  <si>
    <t>Max</t>
  </si>
  <si>
    <t>Quantity Sold</t>
  </si>
  <si>
    <t>Months</t>
  </si>
  <si>
    <t>Jan'15</t>
  </si>
  <si>
    <t>Feb'15</t>
  </si>
  <si>
    <t>Mar'15</t>
  </si>
  <si>
    <t>Apr'15</t>
  </si>
  <si>
    <t>May'15</t>
  </si>
  <si>
    <t>Jun'15</t>
  </si>
  <si>
    <t>Jul'15</t>
  </si>
  <si>
    <t>Aug'15</t>
  </si>
  <si>
    <t>Sep'15</t>
  </si>
  <si>
    <t>Oct'15</t>
  </si>
  <si>
    <t>Nov'15</t>
  </si>
  <si>
    <t>Dec'15</t>
  </si>
  <si>
    <t>Aug</t>
  </si>
  <si>
    <t>Sep</t>
  </si>
  <si>
    <t>Sales Stage</t>
  </si>
  <si>
    <t>Stage 1 (Initial contact)</t>
  </si>
  <si>
    <t>Stage 2 (Qualification)</t>
  </si>
  <si>
    <t>Stage 3 (Meeting)</t>
  </si>
  <si>
    <t>Stage 4 (Proposal)</t>
  </si>
  <si>
    <t>Stage 5 (Close)</t>
  </si>
  <si>
    <t>Customer Count</t>
  </si>
  <si>
    <t>Q1</t>
  </si>
  <si>
    <t>Q2</t>
  </si>
  <si>
    <t>Q3</t>
  </si>
  <si>
    <t>Q4</t>
  </si>
  <si>
    <t>Maximum value</t>
  </si>
  <si>
    <t>Min</t>
  </si>
  <si>
    <t>Target</t>
  </si>
  <si>
    <t>SCORE</t>
  </si>
  <si>
    <t>PIN</t>
  </si>
  <si>
    <t>ACTUAL</t>
  </si>
  <si>
    <t>Continent</t>
  </si>
  <si>
    <t>Country</t>
  </si>
  <si>
    <t>Last_Updated_Date</t>
  </si>
  <si>
    <t>Total_Cases</t>
  </si>
  <si>
    <t>Total_Deaths</t>
  </si>
  <si>
    <t>Total_Cases_Per_Million</t>
  </si>
  <si>
    <t>Total_Deaths_Per_Million</t>
  </si>
  <si>
    <t>Total_tests</t>
  </si>
  <si>
    <t>Positive_rate</t>
  </si>
  <si>
    <t>Total_Vaccinations</t>
  </si>
  <si>
    <t>People_Vaccinated</t>
  </si>
  <si>
    <t>People_Fully_Vaccinated</t>
  </si>
  <si>
    <t>Population</t>
  </si>
  <si>
    <t>Population_Density</t>
  </si>
  <si>
    <t>Median_Age</t>
  </si>
  <si>
    <t>Aged_65_Older</t>
  </si>
  <si>
    <t>Aged_70_Older</t>
  </si>
  <si>
    <t>GDP_Per_Capita</t>
  </si>
  <si>
    <t>Asia</t>
  </si>
  <si>
    <t>Afghanistan</t>
  </si>
  <si>
    <t>Europe</t>
  </si>
  <si>
    <t>Albania</t>
  </si>
  <si>
    <t>Africa</t>
  </si>
  <si>
    <t>Algeria</t>
  </si>
  <si>
    <t>Andorra</t>
  </si>
  <si>
    <t>Angola</t>
  </si>
  <si>
    <t>North America</t>
  </si>
  <si>
    <t>Anguilla</t>
  </si>
  <si>
    <t>Antigua and Barbuda</t>
  </si>
  <si>
    <t>South America</t>
  </si>
  <si>
    <t>Argentina</t>
  </si>
  <si>
    <t>Armenia</t>
  </si>
  <si>
    <t>Aruba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</si>
  <si>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</si>
  <si>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</si>
  <si>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</si>
  <si>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</si>
  <si>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</si>
  <si>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</si>
  <si>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</si>
  <si>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</si>
  <si>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</si>
  <si>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</si>
  <si>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</si>
  <si>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</si>
  <si>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</si>
  <si>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</si>
  <si>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</si>
  <si>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</si>
  <si>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</si>
  <si>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</si>
  <si>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</si>
  <si>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</si>
  <si>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</si>
  <si>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</si>
  <si>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</si>
  <si>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</si>
  <si>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</si>
  <si>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</si>
  <si>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</si>
  <si>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</si>
  <si>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</si>
  <si>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</si>
  <si>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</si>
  <si>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</si>
  <si>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</si>
  <si>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</si>
  <si>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</si>
  <si>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</si>
  <si>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</si>
  <si>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Cote d'Ivoire</t>
  </si>
  <si>
    <t>Croatia</t>
  </si>
  <si>
    <t>Cuba</t>
  </si>
  <si>
    <t>Curacao</t>
  </si>
  <si>
    <t>Cyprus</t>
  </si>
  <si>
    <t>Czechia</t>
  </si>
  <si>
    <t>Democratic Republic of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</si>
  <si>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</si>
  <si>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</si>
  <si>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</si>
  <si>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</si>
  <si>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</si>
  <si>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</si>
  <si>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</si>
  <si>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</si>
  <si>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</si>
  <si>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</si>
  <si>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</si>
  <si>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</si>
  <si>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Faeroe Islands</t>
  </si>
  <si>
    <t>Fiji</t>
  </si>
  <si>
    <t>Finland</t>
  </si>
  <si>
    <t>France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</si>
  <si>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</si>
  <si>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</si>
  <si>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</si>
  <si>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</si>
  <si>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</si>
  <si>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</si>
  <si>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</si>
  <si>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</si>
  <si>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</si>
  <si>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</si>
  <si>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</si>
  <si>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</si>
  <si>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</si>
  <si>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</si>
  <si>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</si>
  <si>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</si>
  <si>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</si>
  <si>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</si>
  <si>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</si>
  <si>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</si>
  <si>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</si>
  <si>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</si>
  <si>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</si>
  <si>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</si>
  <si>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</si>
  <si>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</si>
  <si>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</si>
  <si>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</si>
  <si>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</si>
  <si>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</si>
  <si>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</si>
  <si>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</si>
  <si>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</si>
  <si>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</si>
  <si>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</si>
  <si>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</si>
  <si>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</si>
  <si>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</si>
  <si>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</si>
  <si>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</si>
  <si>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</si>
  <si>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</si>
  <si>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</si>
  <si>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</si>
  <si>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</si>
  <si>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</si>
  <si>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</si>
  <si>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</si>
  <si>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</si>
  <si>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</si>
  <si>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</si>
  <si>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</si>
  <si>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</si>
  <si>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</si>
  <si>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</si>
  <si>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</si>
  <si>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</si>
  <si>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</si>
  <si>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(country)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</si>
  <si>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</si>
  <si>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</si>
  <si>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</si>
  <si>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</si>
  <si>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</si>
  <si>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</si>
  <si>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</si>
  <si>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</si>
  <si>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</si>
  <si>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</si>
  <si>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</si>
  <si>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</si>
  <si>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</si>
  <si>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</si>
  <si>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</si>
  <si>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</si>
  <si>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</si>
  <si>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</si>
  <si>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</si>
  <si>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</si>
  <si>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</si>
  <si>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</si>
  <si>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</si>
  <si>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</si>
  <si>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</si>
  <si>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</si>
  <si>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</si>
  <si>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</si>
  <si>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</si>
  <si>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</si>
  <si>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</si>
  <si>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</si>
  <si>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</si>
  <si>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</si>
  <si>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</si>
  <si>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</si>
  <si>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</si>
  <si>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</si>
  <si>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</si>
  <si>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</si>
  <si>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</si>
  <si>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</si>
  <si>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</si>
  <si>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</si>
  <si>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</si>
  <si>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</si>
  <si>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</si>
  <si>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</si>
  <si>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</si>
  <si>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</si>
  <si>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</si>
  <si>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</si>
  <si>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</si>
  <si>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</si>
  <si>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</si>
  <si>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</si>
  <si>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</si>
  <si>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</si>
  <si>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</si>
  <si>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</si>
  <si>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</si>
  <si>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</si>
  <si>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</si>
  <si>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</si>
  <si>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</t>
  </si>
  <si>
    <t>Togo</t>
  </si>
  <si>
    <t>Tonga</t>
  </si>
  <si>
    <t>Trinidad and Tobago</t>
  </si>
  <si>
    <t>Tunisia</t>
  </si>
  <si>
    <t>Turkey</t>
  </si>
  <si>
    <t>Turks and Caicos Islands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</si>
  <si>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</si>
  <si>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</si>
  <si>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</si>
  <si>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</si>
  <si>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</si>
  <si>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</si>
  <si>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</si>
  <si>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</si>
  <si>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Vatican</t>
  </si>
  <si>
    <t>Venezuela</t>
  </si>
  <si>
    <t>Vietnam</t>
  </si>
  <si>
    <t>Wallis and Futuna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</si>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</sst>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0.0%"/>
    <numFmt numFmtId="165" formatCode="0.0"/>
    <numFmt numFmtId="166" formatCode=";;;"/>
    <numFmt numFmtId="167" formatCode="_-* #,##0.00_-;\-* #,##0.00_-;_-* &quot;-&quot;??_-;_-@_-"/>
    <numFmt numFmtId="168" formatCode="_-* #,##0_-;\-* #,##0_-;_-* &quot;-&quot;??_-;_-@_-"/>
    <numFmt numFmtId="169" formatCode="_(* #,##0_);_(* \(#,##0\);_(* &quot;-&quot;??_);_(@_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i/>
      <sz val="11"/>
      <name val="Calibri"/>
      <family val="2"/>
      <scheme val="minor"/>
    </font>
    <font>
      <i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9"/>
      <name val="Arial"/>
      <family val="2"/>
    </font>
    <font>
      <sz val="11"/>
      <color theme="1"/>
      <name val="Sylfaen"/>
      <family val="1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Sylfaen"/>
      <family val="2"/>
    </font>
    <font>
      <sz val="11"/>
      <color theme="0"/>
      <name val="Sylfaen"/>
      <family val="2"/>
    </font>
    <font>
      <b/>
      <sz val="10"/>
      <color theme="0"/>
      <name val="Arial"/>
      <family val="2"/>
    </font>
    <font>
      <b/>
      <i/>
      <sz val="11"/>
      <name val="Calibri"/>
      <family val="2"/>
      <scheme val="minor"/>
    </font>
    <font>
      <sz val="10"/>
      <name val="Arial Unicode MS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</fills>
  <borders count="2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0" fontId="9" fillId="0" borderId="0"/>
    <xf numFmtId="9" fontId="7" fillId="0" borderId="0" applyFont="0" applyFill="0" applyBorder="0" applyAlignment="0" applyProtection="0"/>
    <xf numFmtId="0" fontId="14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2" applyFont="1"/>
    <xf numFmtId="0" fontId="1" fillId="0" borderId="0" xfId="2"/>
    <xf numFmtId="0" fontId="5" fillId="0" borderId="0" xfId="2" applyFont="1"/>
    <xf numFmtId="0" fontId="6" fillId="0" borderId="0" xfId="2" applyFont="1"/>
    <xf numFmtId="0" fontId="2" fillId="3" borderId="1" xfId="2" applyFont="1" applyFill="1" applyBorder="1" applyAlignment="1">
      <alignment horizontal="center" wrapText="1"/>
    </xf>
    <xf numFmtId="0" fontId="2" fillId="3" borderId="2" xfId="2" applyFont="1" applyFill="1" applyBorder="1" applyAlignment="1">
      <alignment horizontal="center" wrapText="1"/>
    </xf>
    <xf numFmtId="0" fontId="2" fillId="3" borderId="3" xfId="2" applyFont="1" applyFill="1" applyBorder="1" applyAlignment="1">
      <alignment horizontal="center" wrapText="1"/>
    </xf>
    <xf numFmtId="0" fontId="7" fillId="0" borderId="0" xfId="2" applyFont="1" applyAlignment="1">
      <alignment horizontal="center" wrapText="1"/>
    </xf>
    <xf numFmtId="0" fontId="8" fillId="0" borderId="1" xfId="2" applyFont="1" applyBorder="1" applyAlignment="1">
      <alignment horizontal="center"/>
    </xf>
    <xf numFmtId="9" fontId="1" fillId="0" borderId="2" xfId="3" applyFont="1" applyBorder="1"/>
    <xf numFmtId="9" fontId="1" fillId="0" borderId="3" xfId="3" applyFont="1" applyBorder="1"/>
    <xf numFmtId="9" fontId="7" fillId="0" borderId="0" xfId="3" applyFont="1" applyFill="1" applyBorder="1"/>
    <xf numFmtId="0" fontId="8" fillId="0" borderId="4" xfId="2" applyFont="1" applyBorder="1" applyAlignment="1">
      <alignment horizontal="center"/>
    </xf>
    <xf numFmtId="9" fontId="1" fillId="0" borderId="5" xfId="3" applyFont="1" applyBorder="1"/>
    <xf numFmtId="9" fontId="1" fillId="0" borderId="6" xfId="3" applyFont="1" applyBorder="1"/>
    <xf numFmtId="0" fontId="7" fillId="0" borderId="0" xfId="2" applyFont="1"/>
    <xf numFmtId="9" fontId="7" fillId="0" borderId="0" xfId="2" applyNumberFormat="1" applyFont="1"/>
    <xf numFmtId="0" fontId="0" fillId="0" borderId="7" xfId="2" applyFont="1" applyBorder="1"/>
    <xf numFmtId="0" fontId="0" fillId="0" borderId="8" xfId="2" applyFont="1" applyBorder="1"/>
    <xf numFmtId="0" fontId="0" fillId="0" borderId="9" xfId="2" applyFont="1" applyBorder="1"/>
    <xf numFmtId="0" fontId="0" fillId="0" borderId="10" xfId="2" applyFont="1" applyBorder="1"/>
    <xf numFmtId="0" fontId="0" fillId="0" borderId="11" xfId="2" applyFont="1" applyBorder="1"/>
    <xf numFmtId="0" fontId="1" fillId="0" borderId="11" xfId="2" applyBorder="1"/>
    <xf numFmtId="10" fontId="1" fillId="0" borderId="12" xfId="1" applyNumberFormat="1" applyBorder="1"/>
    <xf numFmtId="0" fontId="0" fillId="0" borderId="13" xfId="2" applyFont="1" applyBorder="1"/>
    <xf numFmtId="0" fontId="0" fillId="0" borderId="14" xfId="2" applyFont="1" applyBorder="1"/>
    <xf numFmtId="0" fontId="1" fillId="0" borderId="14" xfId="2" applyBorder="1"/>
    <xf numFmtId="10" fontId="1" fillId="0" borderId="15" xfId="1" applyNumberFormat="1" applyBorder="1"/>
    <xf numFmtId="0" fontId="11" fillId="4" borderId="16" xfId="2" applyFont="1" applyFill="1" applyBorder="1"/>
    <xf numFmtId="3" fontId="1" fillId="0" borderId="16" xfId="2" applyNumberFormat="1" applyBorder="1"/>
    <xf numFmtId="0" fontId="12" fillId="0" borderId="0" xfId="4" applyFont="1"/>
    <xf numFmtId="0" fontId="8" fillId="0" borderId="0" xfId="4" applyFont="1"/>
    <xf numFmtId="0" fontId="9" fillId="0" borderId="0" xfId="4"/>
    <xf numFmtId="0" fontId="8" fillId="4" borderId="16" xfId="4" applyFont="1" applyFill="1" applyBorder="1"/>
    <xf numFmtId="0" fontId="12" fillId="4" borderId="16" xfId="4" applyFont="1" applyFill="1" applyBorder="1" applyAlignment="1">
      <alignment horizontal="right"/>
    </xf>
    <xf numFmtId="0" fontId="8" fillId="0" borderId="16" xfId="4" applyFont="1" applyBorder="1" applyAlignment="1">
      <alignment horizontal="left"/>
    </xf>
    <xf numFmtId="164" fontId="8" fillId="0" borderId="16" xfId="5" applyNumberFormat="1" applyFont="1" applyBorder="1"/>
    <xf numFmtId="165" fontId="8" fillId="0" borderId="0" xfId="4" applyNumberFormat="1" applyFont="1"/>
    <xf numFmtId="0" fontId="3" fillId="3" borderId="1" xfId="2" applyFont="1" applyFill="1" applyBorder="1"/>
    <xf numFmtId="0" fontId="3" fillId="3" borderId="3" xfId="2" applyFont="1" applyFill="1" applyBorder="1"/>
    <xf numFmtId="0" fontId="1" fillId="0" borderId="1" xfId="2" applyBorder="1"/>
    <xf numFmtId="0" fontId="1" fillId="0" borderId="3" xfId="2" applyBorder="1"/>
    <xf numFmtId="0" fontId="13" fillId="0" borderId="4" xfId="2" applyFont="1" applyBorder="1"/>
    <xf numFmtId="0" fontId="1" fillId="0" borderId="6" xfId="2" applyBorder="1"/>
    <xf numFmtId="0" fontId="14" fillId="0" borderId="11" xfId="6" applyBorder="1"/>
    <xf numFmtId="9" fontId="14" fillId="0" borderId="11" xfId="6" applyNumberFormat="1" applyBorder="1"/>
    <xf numFmtId="166" fontId="14" fillId="0" borderId="0" xfId="6" applyNumberFormat="1"/>
    <xf numFmtId="0" fontId="14" fillId="0" borderId="0" xfId="6"/>
    <xf numFmtId="9" fontId="15" fillId="0" borderId="0" xfId="6" applyNumberFormat="1" applyFont="1"/>
    <xf numFmtId="0" fontId="16" fillId="3" borderId="1" xfId="2" applyFont="1" applyFill="1" applyBorder="1"/>
    <xf numFmtId="0" fontId="16" fillId="3" borderId="2" xfId="2" applyFont="1" applyFill="1" applyBorder="1"/>
    <xf numFmtId="0" fontId="16" fillId="3" borderId="3" xfId="2" applyFont="1" applyFill="1" applyBorder="1"/>
    <xf numFmtId="49" fontId="13" fillId="0" borderId="1" xfId="2" applyNumberFormat="1" applyFont="1" applyBorder="1"/>
    <xf numFmtId="3" fontId="13" fillId="0" borderId="2" xfId="2" applyNumberFormat="1" applyFont="1" applyBorder="1"/>
    <xf numFmtId="3" fontId="13" fillId="0" borderId="3" xfId="2" applyNumberFormat="1" applyFont="1" applyBorder="1"/>
    <xf numFmtId="3" fontId="13" fillId="0" borderId="5" xfId="2" applyNumberFormat="1" applyFont="1" applyBorder="1"/>
    <xf numFmtId="3" fontId="13" fillId="0" borderId="6" xfId="2" applyNumberFormat="1" applyFont="1" applyBorder="1"/>
    <xf numFmtId="0" fontId="2" fillId="3" borderId="1" xfId="2" applyFont="1" applyFill="1" applyBorder="1"/>
    <xf numFmtId="0" fontId="2" fillId="3" borderId="2" xfId="2" applyFont="1" applyFill="1" applyBorder="1" applyAlignment="1">
      <alignment horizontal="center"/>
    </xf>
    <xf numFmtId="9" fontId="1" fillId="0" borderId="2" xfId="5" applyFont="1" applyBorder="1"/>
    <xf numFmtId="9" fontId="1" fillId="0" borderId="3" xfId="5" applyFont="1" applyBorder="1"/>
    <xf numFmtId="9" fontId="1" fillId="0" borderId="0" xfId="2" applyNumberFormat="1"/>
    <xf numFmtId="9" fontId="1" fillId="0" borderId="2" xfId="2" applyNumberFormat="1" applyBorder="1"/>
    <xf numFmtId="9" fontId="1" fillId="0" borderId="3" xfId="2" applyNumberFormat="1" applyBorder="1"/>
    <xf numFmtId="0" fontId="1" fillId="0" borderId="4" xfId="2" applyBorder="1"/>
    <xf numFmtId="9" fontId="1" fillId="0" borderId="5" xfId="2" applyNumberFormat="1" applyBorder="1"/>
    <xf numFmtId="9" fontId="1" fillId="0" borderId="6" xfId="2" applyNumberFormat="1" applyBorder="1"/>
    <xf numFmtId="0" fontId="17" fillId="0" borderId="0" xfId="2" applyFont="1"/>
    <xf numFmtId="0" fontId="12" fillId="0" borderId="0" xfId="2" applyFont="1"/>
    <xf numFmtId="0" fontId="18" fillId="0" borderId="16" xfId="2" applyFont="1" applyBorder="1"/>
    <xf numFmtId="0" fontId="12" fillId="2" borderId="16" xfId="2" applyFont="1" applyFill="1" applyBorder="1"/>
    <xf numFmtId="0" fontId="1" fillId="0" borderId="16" xfId="2" quotePrefix="1" applyBorder="1"/>
    <xf numFmtId="0" fontId="3" fillId="0" borderId="11" xfId="0" applyFont="1" applyBorder="1"/>
    <xf numFmtId="0" fontId="3" fillId="0" borderId="0" xfId="0" applyFont="1"/>
    <xf numFmtId="0" fontId="0" fillId="0" borderId="11" xfId="0" applyBorder="1"/>
    <xf numFmtId="9" fontId="0" fillId="0" borderId="17" xfId="1" applyFont="1" applyBorder="1"/>
    <xf numFmtId="0" fontId="0" fillId="0" borderId="0" xfId="0" applyAlignment="1">
      <alignment horizontal="center"/>
    </xf>
    <xf numFmtId="0" fontId="0" fillId="5" borderId="0" xfId="0" applyFill="1"/>
    <xf numFmtId="0" fontId="2" fillId="3" borderId="18" xfId="0" applyFont="1" applyFill="1" applyBorder="1"/>
    <xf numFmtId="0" fontId="2" fillId="3" borderId="18" xfId="0" applyFont="1" applyFill="1" applyBorder="1" applyAlignment="1">
      <alignment horizontal="center"/>
    </xf>
    <xf numFmtId="0" fontId="0" fillId="0" borderId="19" xfId="0" applyBorder="1"/>
    <xf numFmtId="168" fontId="0" fillId="0" borderId="18" xfId="7" applyNumberFormat="1" applyFont="1" applyBorder="1"/>
    <xf numFmtId="0" fontId="3" fillId="0" borderId="20" xfId="0" applyFont="1" applyBorder="1"/>
    <xf numFmtId="0" fontId="0" fillId="0" borderId="20" xfId="0" applyBorder="1"/>
    <xf numFmtId="169" fontId="0" fillId="0" borderId="20" xfId="8" applyNumberFormat="1" applyFont="1" applyBorder="1"/>
    <xf numFmtId="0" fontId="10" fillId="0" borderId="21" xfId="0" applyFont="1" applyBorder="1"/>
    <xf numFmtId="0" fontId="10" fillId="0" borderId="22" xfId="0" applyFont="1" applyBorder="1"/>
    <xf numFmtId="0" fontId="10" fillId="0" borderId="23" xfId="0" applyFont="1" applyBorder="1"/>
    <xf numFmtId="0" fontId="10" fillId="0" borderId="24" xfId="0" applyFont="1" applyBorder="1"/>
    <xf numFmtId="0" fontId="10" fillId="0" borderId="25" xfId="0" applyFont="1" applyBorder="1"/>
    <xf numFmtId="0" fontId="10" fillId="0" borderId="26" xfId="0" applyFont="1" applyBorder="1"/>
    <xf numFmtId="9" fontId="7" fillId="0" borderId="0" xfId="3" applyFont="1" applyFill="1" applyBorder="1" applyAlignment="1"/>
    <xf numFmtId="10" fontId="1" fillId="0" borderId="12" xfId="1" applyNumberFormat="1" applyBorder="1" applyAlignment="1"/>
    <xf numFmtId="10" fontId="1" fillId="0" borderId="15" xfId="1" applyNumberFormat="1" applyBorder="1" applyAlignment="1"/>
    <xf numFmtId="9" fontId="0" fillId="0" borderId="0" xfId="1" applyFont="1" applyAlignment="1"/>
    <xf numFmtId="9" fontId="0" fillId="0" borderId="0" xfId="1" applyFont="1"/>
    <xf numFmtId="0" fontId="0" fillId="0" borderId="19" xfId="0" applyBorder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11" xfId="0" applyFont="1" applyBorder="1" applyAlignment="1">
      <alignment horizontal="center"/>
    </xf>
  </cellXfs>
  <cellStyles count="9">
    <cellStyle name="Comma" xfId="8" builtinId="3"/>
    <cellStyle name="Comma 4" xfId="7" xr:uid="{C6A4E445-AA5B-4605-89A3-F3D3058EF6FD}"/>
    <cellStyle name="Normal" xfId="0" builtinId="0"/>
    <cellStyle name="Normal 14" xfId="6" xr:uid="{C7A040FC-E9B8-4262-B8B9-B31F5B013307}"/>
    <cellStyle name="Normal 3 2 2" xfId="2" xr:uid="{BDA250EB-C9B2-4B50-8D2C-2AE5D867DD4D}"/>
    <cellStyle name="Normal_line chart r&amp;D Expenditures" xfId="4" xr:uid="{4952743B-35EA-443A-9A88-00571255E151}"/>
    <cellStyle name="Percent" xfId="1" builtinId="5"/>
    <cellStyle name="Percent 2" xfId="5" xr:uid="{0355FE5F-B544-467C-A4B9-778412D7FF88}"/>
    <cellStyle name="Percent 5" xfId="3" xr:uid="{F0D2E02C-19F7-4927-9FB1-8C159124C5DA}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ylfae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ylfae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ylfaen"/>
        <family val="1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9" Type="http://schemas.openxmlformats.org/officeDocument/2006/relationships/calcChain" Target="calcChain.xml"/><Relationship Id="rId21" Type="http://schemas.openxmlformats.org/officeDocument/2006/relationships/externalLink" Target="externalLinks/externalLink2.xml"/><Relationship Id="rId34" Type="http://schemas.openxmlformats.org/officeDocument/2006/relationships/externalLink" Target="externalLinks/externalLink1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38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Customer Satisfaction by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'Column Chart Ex1'!$B$6</c:f>
              <c:strCache>
                <c:ptCount val="1"/>
                <c:pt idx="0">
                  <c:v>&lt; 30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 Ex1'!$A$7:$A$12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 Ex1'!$B$7:$B$12</c:f>
              <c:numCache>
                <c:formatCode>0%</c:formatCode>
                <c:ptCount val="6"/>
                <c:pt idx="0">
                  <c:v>0.42</c:v>
                </c:pt>
                <c:pt idx="1">
                  <c:v>0.39</c:v>
                </c:pt>
                <c:pt idx="2">
                  <c:v>0.28999999999999998</c:v>
                </c:pt>
                <c:pt idx="3">
                  <c:v>0.33</c:v>
                </c:pt>
                <c:pt idx="4">
                  <c:v>0.48</c:v>
                </c:pt>
                <c:pt idx="5">
                  <c:v>0.51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B-49C4-9800-E47BADB1B2F4}"/>
            </c:ext>
          </c:extLst>
        </c:ser>
        <c:ser>
          <c:idx val="1"/>
          <c:order val="1"/>
          <c:tx>
            <c:strRef>
              <c:f>'Column Chart Ex1'!$C$6</c:f>
              <c:strCache>
                <c:ptCount val="1"/>
                <c:pt idx="0">
                  <c:v>30-49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 Ex1'!$A$7:$A$12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 Ex1'!$C$7:$C$12</c:f>
              <c:numCache>
                <c:formatCode>0%</c:formatCode>
                <c:ptCount val="6"/>
                <c:pt idx="0">
                  <c:v>0.46</c:v>
                </c:pt>
                <c:pt idx="1">
                  <c:v>0.51</c:v>
                </c:pt>
                <c:pt idx="2">
                  <c:v>0.38</c:v>
                </c:pt>
                <c:pt idx="3">
                  <c:v>0.39</c:v>
                </c:pt>
                <c:pt idx="4">
                  <c:v>0.53</c:v>
                </c:pt>
                <c:pt idx="5">
                  <c:v>0.56999999999999995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CB-49C4-9800-E47BADB1B2F4}"/>
            </c:ext>
          </c:extLst>
        </c:ser>
        <c:ser>
          <c:idx val="2"/>
          <c:order val="2"/>
          <c:tx>
            <c:strRef>
              <c:f>'Column Chart Ex1'!$D$6</c:f>
              <c:strCache>
                <c:ptCount val="1"/>
                <c:pt idx="0">
                  <c:v>50+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'Column Chart Ex1'!$A$7:$A$12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'Column Chart Ex1'!$D$7:$D$12</c:f>
              <c:numCache>
                <c:formatCode>0%</c:formatCode>
                <c:ptCount val="6"/>
                <c:pt idx="0">
                  <c:v>0.75</c:v>
                </c:pt>
                <c:pt idx="1">
                  <c:v>0.76</c:v>
                </c:pt>
                <c:pt idx="2">
                  <c:v>0.73</c:v>
                </c:pt>
                <c:pt idx="3">
                  <c:v>0.75</c:v>
                </c:pt>
                <c:pt idx="4">
                  <c:v>0.7</c:v>
                </c:pt>
                <c:pt idx="5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CB-49C4-9800-E47BADB1B2F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538712256"/>
        <c:axId val="1538711776"/>
        <c:axId val="0"/>
      </c:bar3DChart>
      <c:catAx>
        <c:axId val="153871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11776"/>
        <c:crosses val="autoZero"/>
        <c:auto val="1"/>
        <c:lblAlgn val="ctr"/>
        <c:lblOffset val="100"/>
        <c:noMultiLvlLbl val="0"/>
      </c:catAx>
      <c:valAx>
        <c:axId val="153871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Very</a:t>
                </a:r>
                <a:r>
                  <a:rPr lang="en-IN" b="1" baseline="0"/>
                  <a:t> Satisfaction by customer age</a:t>
                </a:r>
                <a:endParaRPr lang="en-IN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871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'Dynamic Chart'!$B$1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'Dynamic Chart'!$A$2:$A$9</c:f>
              <c:strCache>
                <c:ptCount val="8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june</c:v>
                </c:pt>
                <c:pt idx="5">
                  <c:v>july</c:v>
                </c:pt>
                <c:pt idx="6">
                  <c:v>Aug</c:v>
                </c:pt>
                <c:pt idx="7">
                  <c:v>Sep</c:v>
                </c:pt>
              </c:strCache>
            </c:strRef>
          </c:cat>
          <c:val>
            <c:numRef>
              <c:f>'Dynamic Chart'!$B$2:$B$9</c:f>
              <c:numCache>
                <c:formatCode>General</c:formatCode>
                <c:ptCount val="8"/>
                <c:pt idx="0">
                  <c:v>230</c:v>
                </c:pt>
                <c:pt idx="1">
                  <c:v>390</c:v>
                </c:pt>
                <c:pt idx="2">
                  <c:v>120</c:v>
                </c:pt>
                <c:pt idx="3">
                  <c:v>890</c:v>
                </c:pt>
                <c:pt idx="4">
                  <c:v>230</c:v>
                </c:pt>
                <c:pt idx="5">
                  <c:v>220</c:v>
                </c:pt>
                <c:pt idx="6">
                  <c:v>190</c:v>
                </c:pt>
                <c:pt idx="7">
                  <c:v>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57-43C3-92AA-D0C195BDB03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79039888"/>
        <c:axId val="879036048"/>
        <c:axId val="0"/>
      </c:bar3DChart>
      <c:catAx>
        <c:axId val="879039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36048"/>
        <c:crosses val="autoZero"/>
        <c:auto val="1"/>
        <c:lblAlgn val="ctr"/>
        <c:lblOffset val="100"/>
        <c:noMultiLvlLbl val="0"/>
      </c:catAx>
      <c:valAx>
        <c:axId val="87903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039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Chart'!$A$3</c:f>
              <c:strCache>
                <c:ptCount val="1"/>
                <c:pt idx="0">
                  <c:v>Daily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'Line Chart'!$A$4:$A$203</c:f>
              <c:numCache>
                <c:formatCode>#,##0</c:formatCode>
                <c:ptCount val="200"/>
                <c:pt idx="0">
                  <c:v>19874</c:v>
                </c:pt>
                <c:pt idx="1">
                  <c:v>19382</c:v>
                </c:pt>
                <c:pt idx="2">
                  <c:v>20064</c:v>
                </c:pt>
                <c:pt idx="3">
                  <c:v>21026</c:v>
                </c:pt>
                <c:pt idx="4">
                  <c:v>22178</c:v>
                </c:pt>
                <c:pt idx="5">
                  <c:v>22110</c:v>
                </c:pt>
                <c:pt idx="6">
                  <c:v>21926</c:v>
                </c:pt>
                <c:pt idx="7">
                  <c:v>21405</c:v>
                </c:pt>
                <c:pt idx="8">
                  <c:v>21733</c:v>
                </c:pt>
                <c:pt idx="9">
                  <c:v>21267</c:v>
                </c:pt>
                <c:pt idx="10">
                  <c:v>21523</c:v>
                </c:pt>
                <c:pt idx="11">
                  <c:v>21865</c:v>
                </c:pt>
                <c:pt idx="12">
                  <c:v>21210</c:v>
                </c:pt>
                <c:pt idx="13">
                  <c:v>21402</c:v>
                </c:pt>
                <c:pt idx="14">
                  <c:v>21610</c:v>
                </c:pt>
                <c:pt idx="15">
                  <c:v>20699</c:v>
                </c:pt>
                <c:pt idx="16">
                  <c:v>20962</c:v>
                </c:pt>
                <c:pt idx="17">
                  <c:v>20195</c:v>
                </c:pt>
                <c:pt idx="18">
                  <c:v>19592</c:v>
                </c:pt>
                <c:pt idx="19">
                  <c:v>19699</c:v>
                </c:pt>
                <c:pt idx="20">
                  <c:v>19617</c:v>
                </c:pt>
                <c:pt idx="21">
                  <c:v>18599</c:v>
                </c:pt>
                <c:pt idx="22">
                  <c:v>17482</c:v>
                </c:pt>
                <c:pt idx="23">
                  <c:v>17549</c:v>
                </c:pt>
                <c:pt idx="24">
                  <c:v>17970</c:v>
                </c:pt>
                <c:pt idx="25">
                  <c:v>18618</c:v>
                </c:pt>
                <c:pt idx="26">
                  <c:v>19194</c:v>
                </c:pt>
                <c:pt idx="27">
                  <c:v>19712</c:v>
                </c:pt>
                <c:pt idx="28">
                  <c:v>20450</c:v>
                </c:pt>
                <c:pt idx="29">
                  <c:v>19462</c:v>
                </c:pt>
                <c:pt idx="30">
                  <c:v>20677</c:v>
                </c:pt>
                <c:pt idx="31">
                  <c:v>20834</c:v>
                </c:pt>
                <c:pt idx="32">
                  <c:v>21339</c:v>
                </c:pt>
                <c:pt idx="33">
                  <c:v>21507</c:v>
                </c:pt>
                <c:pt idx="34">
                  <c:v>21133</c:v>
                </c:pt>
                <c:pt idx="35">
                  <c:v>21636</c:v>
                </c:pt>
                <c:pt idx="36">
                  <c:v>21659</c:v>
                </c:pt>
                <c:pt idx="37">
                  <c:v>22234</c:v>
                </c:pt>
                <c:pt idx="38">
                  <c:v>22504</c:v>
                </c:pt>
                <c:pt idx="39">
                  <c:v>21902</c:v>
                </c:pt>
                <c:pt idx="40">
                  <c:v>21995</c:v>
                </c:pt>
                <c:pt idx="41">
                  <c:v>21723</c:v>
                </c:pt>
                <c:pt idx="42">
                  <c:v>22008</c:v>
                </c:pt>
                <c:pt idx="43">
                  <c:v>21666</c:v>
                </c:pt>
                <c:pt idx="44">
                  <c:v>21771</c:v>
                </c:pt>
                <c:pt idx="45">
                  <c:v>22970</c:v>
                </c:pt>
                <c:pt idx="46">
                  <c:v>23236</c:v>
                </c:pt>
                <c:pt idx="47">
                  <c:v>22983</c:v>
                </c:pt>
                <c:pt idx="48">
                  <c:v>22183</c:v>
                </c:pt>
                <c:pt idx="49">
                  <c:v>21757</c:v>
                </c:pt>
                <c:pt idx="50">
                  <c:v>22039</c:v>
                </c:pt>
                <c:pt idx="51">
                  <c:v>22175</c:v>
                </c:pt>
                <c:pt idx="52">
                  <c:v>22882</c:v>
                </c:pt>
                <c:pt idx="53">
                  <c:v>23183</c:v>
                </c:pt>
                <c:pt idx="54">
                  <c:v>22461</c:v>
                </c:pt>
                <c:pt idx="55">
                  <c:v>22578</c:v>
                </c:pt>
                <c:pt idx="56">
                  <c:v>22404</c:v>
                </c:pt>
                <c:pt idx="57">
                  <c:v>21828</c:v>
                </c:pt>
                <c:pt idx="58">
                  <c:v>21853</c:v>
                </c:pt>
                <c:pt idx="59">
                  <c:v>22140</c:v>
                </c:pt>
                <c:pt idx="60">
                  <c:v>21887</c:v>
                </c:pt>
                <c:pt idx="61">
                  <c:v>21369</c:v>
                </c:pt>
                <c:pt idx="62">
                  <c:v>21087</c:v>
                </c:pt>
                <c:pt idx="63">
                  <c:v>20306</c:v>
                </c:pt>
                <c:pt idx="64">
                  <c:v>20257</c:v>
                </c:pt>
                <c:pt idx="65">
                  <c:v>19996</c:v>
                </c:pt>
                <c:pt idx="66">
                  <c:v>19609</c:v>
                </c:pt>
                <c:pt idx="67">
                  <c:v>19422</c:v>
                </c:pt>
                <c:pt idx="68">
                  <c:v>20001</c:v>
                </c:pt>
                <c:pt idx="69">
                  <c:v>19937</c:v>
                </c:pt>
                <c:pt idx="70">
                  <c:v>20368</c:v>
                </c:pt>
                <c:pt idx="71">
                  <c:v>20959</c:v>
                </c:pt>
                <c:pt idx="72">
                  <c:v>21809</c:v>
                </c:pt>
                <c:pt idx="73">
                  <c:v>21795</c:v>
                </c:pt>
                <c:pt idx="74">
                  <c:v>23145</c:v>
                </c:pt>
                <c:pt idx="75">
                  <c:v>23696</c:v>
                </c:pt>
                <c:pt idx="76">
                  <c:v>23666</c:v>
                </c:pt>
                <c:pt idx="77">
                  <c:v>23841</c:v>
                </c:pt>
                <c:pt idx="78">
                  <c:v>24322</c:v>
                </c:pt>
                <c:pt idx="79">
                  <c:v>25073</c:v>
                </c:pt>
                <c:pt idx="80">
                  <c:v>24808</c:v>
                </c:pt>
                <c:pt idx="81">
                  <c:v>24869</c:v>
                </c:pt>
                <c:pt idx="82">
                  <c:v>24719</c:v>
                </c:pt>
                <c:pt idx="83">
                  <c:v>24457</c:v>
                </c:pt>
                <c:pt idx="84">
                  <c:v>24651</c:v>
                </c:pt>
                <c:pt idx="85">
                  <c:v>24926</c:v>
                </c:pt>
                <c:pt idx="86">
                  <c:v>24115</c:v>
                </c:pt>
                <c:pt idx="87">
                  <c:v>24136</c:v>
                </c:pt>
                <c:pt idx="88">
                  <c:v>23485</c:v>
                </c:pt>
                <c:pt idx="89">
                  <c:v>23360</c:v>
                </c:pt>
                <c:pt idx="90">
                  <c:v>24140</c:v>
                </c:pt>
                <c:pt idx="91">
                  <c:v>23947</c:v>
                </c:pt>
                <c:pt idx="92">
                  <c:v>24082</c:v>
                </c:pt>
                <c:pt idx="93">
                  <c:v>24710</c:v>
                </c:pt>
                <c:pt idx="94">
                  <c:v>24622</c:v>
                </c:pt>
                <c:pt idx="95">
                  <c:v>23995</c:v>
                </c:pt>
                <c:pt idx="96">
                  <c:v>23638</c:v>
                </c:pt>
                <c:pt idx="97">
                  <c:v>23979</c:v>
                </c:pt>
                <c:pt idx="98">
                  <c:v>23811</c:v>
                </c:pt>
                <c:pt idx="99">
                  <c:v>23884</c:v>
                </c:pt>
                <c:pt idx="100">
                  <c:v>22972</c:v>
                </c:pt>
                <c:pt idx="101">
                  <c:v>23540</c:v>
                </c:pt>
                <c:pt idx="102">
                  <c:v>22653</c:v>
                </c:pt>
                <c:pt idx="103">
                  <c:v>21582</c:v>
                </c:pt>
                <c:pt idx="104">
                  <c:v>21226</c:v>
                </c:pt>
                <c:pt idx="105">
                  <c:v>21373</c:v>
                </c:pt>
                <c:pt idx="106">
                  <c:v>22002</c:v>
                </c:pt>
                <c:pt idx="107">
                  <c:v>22255</c:v>
                </c:pt>
                <c:pt idx="108">
                  <c:v>23268</c:v>
                </c:pt>
                <c:pt idx="109">
                  <c:v>24315</c:v>
                </c:pt>
                <c:pt idx="110">
                  <c:v>23682</c:v>
                </c:pt>
                <c:pt idx="111">
                  <c:v>23255</c:v>
                </c:pt>
                <c:pt idx="112">
                  <c:v>23936</c:v>
                </c:pt>
                <c:pt idx="113">
                  <c:v>24438</c:v>
                </c:pt>
                <c:pt idx="114">
                  <c:v>24363</c:v>
                </c:pt>
                <c:pt idx="115">
                  <c:v>25360</c:v>
                </c:pt>
                <c:pt idx="116">
                  <c:v>24413</c:v>
                </c:pt>
                <c:pt idx="117">
                  <c:v>23838</c:v>
                </c:pt>
                <c:pt idx="118">
                  <c:v>24318</c:v>
                </c:pt>
                <c:pt idx="119">
                  <c:v>24648</c:v>
                </c:pt>
                <c:pt idx="120">
                  <c:v>24046</c:v>
                </c:pt>
                <c:pt idx="121">
                  <c:v>24021</c:v>
                </c:pt>
                <c:pt idx="122">
                  <c:v>22947</c:v>
                </c:pt>
                <c:pt idx="123">
                  <c:v>23091</c:v>
                </c:pt>
                <c:pt idx="124">
                  <c:v>23234</c:v>
                </c:pt>
                <c:pt idx="125">
                  <c:v>23312</c:v>
                </c:pt>
                <c:pt idx="126">
                  <c:v>23887</c:v>
                </c:pt>
                <c:pt idx="127">
                  <c:v>23262</c:v>
                </c:pt>
                <c:pt idx="128">
                  <c:v>22572</c:v>
                </c:pt>
                <c:pt idx="129">
                  <c:v>22897</c:v>
                </c:pt>
                <c:pt idx="130">
                  <c:v>23649</c:v>
                </c:pt>
                <c:pt idx="131">
                  <c:v>23739</c:v>
                </c:pt>
                <c:pt idx="132">
                  <c:v>22971</c:v>
                </c:pt>
                <c:pt idx="133">
                  <c:v>23374</c:v>
                </c:pt>
                <c:pt idx="134">
                  <c:v>22803</c:v>
                </c:pt>
                <c:pt idx="135">
                  <c:v>23751</c:v>
                </c:pt>
                <c:pt idx="136">
                  <c:v>23748</c:v>
                </c:pt>
                <c:pt idx="137">
                  <c:v>23797</c:v>
                </c:pt>
                <c:pt idx="138">
                  <c:v>23616</c:v>
                </c:pt>
                <c:pt idx="139">
                  <c:v>23690</c:v>
                </c:pt>
                <c:pt idx="140">
                  <c:v>23135</c:v>
                </c:pt>
                <c:pt idx="141">
                  <c:v>23936</c:v>
                </c:pt>
                <c:pt idx="142">
                  <c:v>24380</c:v>
                </c:pt>
                <c:pt idx="143">
                  <c:v>24324</c:v>
                </c:pt>
                <c:pt idx="144">
                  <c:v>25172</c:v>
                </c:pt>
                <c:pt idx="145">
                  <c:v>25391</c:v>
                </c:pt>
                <c:pt idx="146">
                  <c:v>25367</c:v>
                </c:pt>
                <c:pt idx="147">
                  <c:v>25179</c:v>
                </c:pt>
                <c:pt idx="148">
                  <c:v>26059</c:v>
                </c:pt>
                <c:pt idx="149">
                  <c:v>26488</c:v>
                </c:pt>
                <c:pt idx="150">
                  <c:v>26426</c:v>
                </c:pt>
                <c:pt idx="151">
                  <c:v>26680</c:v>
                </c:pt>
                <c:pt idx="152">
                  <c:v>27149</c:v>
                </c:pt>
                <c:pt idx="153">
                  <c:v>26751</c:v>
                </c:pt>
                <c:pt idx="154">
                  <c:v>26760</c:v>
                </c:pt>
                <c:pt idx="155">
                  <c:v>27197</c:v>
                </c:pt>
                <c:pt idx="156">
                  <c:v>27497</c:v>
                </c:pt>
                <c:pt idx="157">
                  <c:v>27661</c:v>
                </c:pt>
                <c:pt idx="158">
                  <c:v>27878</c:v>
                </c:pt>
                <c:pt idx="159">
                  <c:v>27852</c:v>
                </c:pt>
                <c:pt idx="160">
                  <c:v>27961</c:v>
                </c:pt>
                <c:pt idx="161">
                  <c:v>27739</c:v>
                </c:pt>
                <c:pt idx="162">
                  <c:v>28042</c:v>
                </c:pt>
                <c:pt idx="163">
                  <c:v>27169</c:v>
                </c:pt>
                <c:pt idx="164">
                  <c:v>27454</c:v>
                </c:pt>
                <c:pt idx="165">
                  <c:v>27816</c:v>
                </c:pt>
                <c:pt idx="166">
                  <c:v>28648</c:v>
                </c:pt>
                <c:pt idx="167">
                  <c:v>28506</c:v>
                </c:pt>
                <c:pt idx="168">
                  <c:v>28415</c:v>
                </c:pt>
                <c:pt idx="169">
                  <c:v>29268</c:v>
                </c:pt>
                <c:pt idx="170">
                  <c:v>30140</c:v>
                </c:pt>
                <c:pt idx="171">
                  <c:v>29526</c:v>
                </c:pt>
                <c:pt idx="172">
                  <c:v>29591</c:v>
                </c:pt>
                <c:pt idx="173">
                  <c:v>29379</c:v>
                </c:pt>
                <c:pt idx="174">
                  <c:v>30310</c:v>
                </c:pt>
                <c:pt idx="175">
                  <c:v>30351</c:v>
                </c:pt>
                <c:pt idx="176">
                  <c:v>31715</c:v>
                </c:pt>
                <c:pt idx="177">
                  <c:v>31739</c:v>
                </c:pt>
                <c:pt idx="178">
                  <c:v>31832</c:v>
                </c:pt>
                <c:pt idx="179">
                  <c:v>32722</c:v>
                </c:pt>
                <c:pt idx="180">
                  <c:v>33254</c:v>
                </c:pt>
                <c:pt idx="181">
                  <c:v>32302</c:v>
                </c:pt>
                <c:pt idx="182">
                  <c:v>31571</c:v>
                </c:pt>
                <c:pt idx="183">
                  <c:v>30969</c:v>
                </c:pt>
                <c:pt idx="184">
                  <c:v>30846</c:v>
                </c:pt>
                <c:pt idx="185">
                  <c:v>32098</c:v>
                </c:pt>
                <c:pt idx="186">
                  <c:v>32189</c:v>
                </c:pt>
                <c:pt idx="187">
                  <c:v>32954</c:v>
                </c:pt>
                <c:pt idx="188">
                  <c:v>33919</c:v>
                </c:pt>
                <c:pt idx="189">
                  <c:v>33670</c:v>
                </c:pt>
                <c:pt idx="190">
                  <c:v>33055</c:v>
                </c:pt>
                <c:pt idx="191">
                  <c:v>34396</c:v>
                </c:pt>
                <c:pt idx="192">
                  <c:v>35099</c:v>
                </c:pt>
                <c:pt idx="193">
                  <c:v>34064</c:v>
                </c:pt>
                <c:pt idx="194">
                  <c:v>34643</c:v>
                </c:pt>
                <c:pt idx="195">
                  <c:v>34811</c:v>
                </c:pt>
                <c:pt idx="196">
                  <c:v>34165</c:v>
                </c:pt>
                <c:pt idx="197">
                  <c:v>34477</c:v>
                </c:pt>
                <c:pt idx="198">
                  <c:v>33914</c:v>
                </c:pt>
                <c:pt idx="199">
                  <c:v>33837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78B-4492-AAC8-E68116098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331968"/>
        <c:axId val="1558332448"/>
      </c:lineChart>
      <c:catAx>
        <c:axId val="1558331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32448"/>
        <c:crosses val="autoZero"/>
        <c:auto val="1"/>
        <c:lblAlgn val="ctr"/>
        <c:lblOffset val="100"/>
        <c:tickLblSkip val="10"/>
        <c:noMultiLvlLbl val="0"/>
      </c:catAx>
      <c:valAx>
        <c:axId val="1558332448"/>
        <c:scaling>
          <c:orientation val="minMax"/>
          <c:max val="35000"/>
          <c:min val="15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331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'Secondary Axis'!$B$5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'Secondary Axis'!$B$6:$B$53</c:f>
              <c:numCache>
                <c:formatCode>0.0%</c:formatCode>
                <c:ptCount val="48"/>
                <c:pt idx="0">
                  <c:v>0.43540000000000001</c:v>
                </c:pt>
                <c:pt idx="1">
                  <c:v>0.42249999999999999</c:v>
                </c:pt>
                <c:pt idx="2">
                  <c:v>0.40149999999999997</c:v>
                </c:pt>
                <c:pt idx="3">
                  <c:v>0.39360000000000001</c:v>
                </c:pt>
                <c:pt idx="4">
                  <c:v>0.35020000000000001</c:v>
                </c:pt>
                <c:pt idx="5">
                  <c:v>0.33960000000000001</c:v>
                </c:pt>
                <c:pt idx="6">
                  <c:v>0.32539999999999997</c:v>
                </c:pt>
                <c:pt idx="7">
                  <c:v>0.32939999999999997</c:v>
                </c:pt>
                <c:pt idx="8">
                  <c:v>0.32659999999999995</c:v>
                </c:pt>
                <c:pt idx="9">
                  <c:v>0.32770000000000005</c:v>
                </c:pt>
                <c:pt idx="10">
                  <c:v>0.31140000000000001</c:v>
                </c:pt>
                <c:pt idx="11">
                  <c:v>0.30820000000000003</c:v>
                </c:pt>
                <c:pt idx="12">
                  <c:v>0.32329999999999998</c:v>
                </c:pt>
                <c:pt idx="13">
                  <c:v>0.33210000000000001</c:v>
                </c:pt>
                <c:pt idx="14">
                  <c:v>0.34889999999999999</c:v>
                </c:pt>
                <c:pt idx="15">
                  <c:v>0.36520000000000002</c:v>
                </c:pt>
                <c:pt idx="16">
                  <c:v>0.3851</c:v>
                </c:pt>
                <c:pt idx="17">
                  <c:v>0.39770000000000005</c:v>
                </c:pt>
                <c:pt idx="18">
                  <c:v>0.40159999999999996</c:v>
                </c:pt>
                <c:pt idx="19">
                  <c:v>0.40759999999999996</c:v>
                </c:pt>
                <c:pt idx="20">
                  <c:v>0.42969999999999997</c:v>
                </c:pt>
                <c:pt idx="21">
                  <c:v>0.44619999999999999</c:v>
                </c:pt>
                <c:pt idx="22">
                  <c:v>0.44359999999999999</c:v>
                </c:pt>
                <c:pt idx="23">
                  <c:v>0.44890000000000002</c:v>
                </c:pt>
                <c:pt idx="24">
                  <c:v>0.45240000000000002</c:v>
                </c:pt>
                <c:pt idx="25">
                  <c:v>0.46039999999999998</c:v>
                </c:pt>
                <c:pt idx="26">
                  <c:v>0.47060000000000002</c:v>
                </c:pt>
                <c:pt idx="27">
                  <c:v>0.48880000000000001</c:v>
                </c:pt>
                <c:pt idx="28">
                  <c:v>0.49740000000000001</c:v>
                </c:pt>
                <c:pt idx="29">
                  <c:v>0.50329999999999997</c:v>
                </c:pt>
                <c:pt idx="30">
                  <c:v>0.50249999999999995</c:v>
                </c:pt>
                <c:pt idx="31">
                  <c:v>0.50990000000000002</c:v>
                </c:pt>
                <c:pt idx="32">
                  <c:v>0.505</c:v>
                </c:pt>
                <c:pt idx="33">
                  <c:v>0.50680000000000003</c:v>
                </c:pt>
                <c:pt idx="34">
                  <c:v>0.4955</c:v>
                </c:pt>
                <c:pt idx="35">
                  <c:v>0.50759999999999994</c:v>
                </c:pt>
                <c:pt idx="36">
                  <c:v>0.5282</c:v>
                </c:pt>
                <c:pt idx="37">
                  <c:v>0.54720000000000002</c:v>
                </c:pt>
                <c:pt idx="38">
                  <c:v>0.5736</c:v>
                </c:pt>
                <c:pt idx="39">
                  <c:v>0.58189999999999997</c:v>
                </c:pt>
                <c:pt idx="40">
                  <c:v>0.58260000000000001</c:v>
                </c:pt>
                <c:pt idx="41">
                  <c:v>0.58630000000000004</c:v>
                </c:pt>
                <c:pt idx="42">
                  <c:v>0.6038</c:v>
                </c:pt>
                <c:pt idx="43">
                  <c:v>0.62539999999999996</c:v>
                </c:pt>
                <c:pt idx="44">
                  <c:v>0.64150000000000007</c:v>
                </c:pt>
                <c:pt idx="45">
                  <c:v>0.65180000000000005</c:v>
                </c:pt>
                <c:pt idx="46">
                  <c:v>0.66930000000000012</c:v>
                </c:pt>
                <c:pt idx="47">
                  <c:v>0.68409999999999993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52-47EA-B2BA-084CAB56B17C}"/>
            </c:ext>
          </c:extLst>
        </c:ser>
        <c:ser>
          <c:idx val="2"/>
          <c:order val="1"/>
          <c:tx>
            <c:strRef>
              <c:f>'Secondary Axis'!$C$5</c:f>
              <c:strCache>
                <c:ptCount val="1"/>
                <c:pt idx="0">
                  <c:v>Federal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'Secondary Axis'!$C$6:$C$53</c:f>
              <c:numCache>
                <c:formatCode>0.0%</c:formatCode>
                <c:ptCount val="48"/>
                <c:pt idx="0">
                  <c:v>0.53920000000000001</c:v>
                </c:pt>
                <c:pt idx="1">
                  <c:v>0.55189999999999995</c:v>
                </c:pt>
                <c:pt idx="2">
                  <c:v>0.57369999999999999</c:v>
                </c:pt>
                <c:pt idx="3">
                  <c:v>0.58560000000000001</c:v>
                </c:pt>
                <c:pt idx="4">
                  <c:v>0.629</c:v>
                </c:pt>
                <c:pt idx="5">
                  <c:v>0.63890000000000002</c:v>
                </c:pt>
                <c:pt idx="6">
                  <c:v>0.65390000000000004</c:v>
                </c:pt>
                <c:pt idx="7">
                  <c:v>0.6502</c:v>
                </c:pt>
                <c:pt idx="8">
                  <c:v>0.6512</c:v>
                </c:pt>
                <c:pt idx="9">
                  <c:v>0.64840000000000009</c:v>
                </c:pt>
                <c:pt idx="10">
                  <c:v>0.66469999999999996</c:v>
                </c:pt>
                <c:pt idx="11">
                  <c:v>0.66819999999999991</c:v>
                </c:pt>
                <c:pt idx="12">
                  <c:v>0.65150000000000008</c:v>
                </c:pt>
                <c:pt idx="13">
                  <c:v>0.64180000000000004</c:v>
                </c:pt>
                <c:pt idx="14">
                  <c:v>0.62380000000000002</c:v>
                </c:pt>
                <c:pt idx="15">
                  <c:v>0.60670000000000002</c:v>
                </c:pt>
                <c:pt idx="16">
                  <c:v>0.58579999999999999</c:v>
                </c:pt>
                <c:pt idx="17">
                  <c:v>0.57040000000000002</c:v>
                </c:pt>
                <c:pt idx="18">
                  <c:v>0.56440000000000001</c:v>
                </c:pt>
                <c:pt idx="19">
                  <c:v>0.55810000000000004</c:v>
                </c:pt>
                <c:pt idx="20">
                  <c:v>0.53590000000000004</c:v>
                </c:pt>
                <c:pt idx="21">
                  <c:v>0.51819999999999999</c:v>
                </c:pt>
                <c:pt idx="22">
                  <c:v>0.51960000000000006</c:v>
                </c:pt>
                <c:pt idx="23">
                  <c:v>0.51460000000000006</c:v>
                </c:pt>
                <c:pt idx="24">
                  <c:v>0.51019999999999999</c:v>
                </c:pt>
                <c:pt idx="25">
                  <c:v>0.50170000000000003</c:v>
                </c:pt>
                <c:pt idx="26">
                  <c:v>0.49229999999999996</c:v>
                </c:pt>
                <c:pt idx="27">
                  <c:v>0.47470000000000001</c:v>
                </c:pt>
                <c:pt idx="28">
                  <c:v>0.46649999999999997</c:v>
                </c:pt>
                <c:pt idx="29">
                  <c:v>0.46049999999999996</c:v>
                </c:pt>
                <c:pt idx="30">
                  <c:v>0.46159999999999995</c:v>
                </c:pt>
                <c:pt idx="31">
                  <c:v>0.45500000000000002</c:v>
                </c:pt>
                <c:pt idx="32">
                  <c:v>0.45960000000000001</c:v>
                </c:pt>
                <c:pt idx="33">
                  <c:v>0.4546</c:v>
                </c:pt>
                <c:pt idx="34">
                  <c:v>0.46360000000000001</c:v>
                </c:pt>
                <c:pt idx="35">
                  <c:v>0.44929999999999998</c:v>
                </c:pt>
                <c:pt idx="36">
                  <c:v>0.42619999999999997</c:v>
                </c:pt>
                <c:pt idx="37">
                  <c:v>0.40560000000000002</c:v>
                </c:pt>
                <c:pt idx="38">
                  <c:v>0.37799999999999995</c:v>
                </c:pt>
                <c:pt idx="39">
                  <c:v>0.36840000000000006</c:v>
                </c:pt>
                <c:pt idx="40">
                  <c:v>0.36520000000000002</c:v>
                </c:pt>
                <c:pt idx="41">
                  <c:v>0.35920000000000002</c:v>
                </c:pt>
                <c:pt idx="42">
                  <c:v>0.34289999999999998</c:v>
                </c:pt>
                <c:pt idx="43">
                  <c:v>0.32119999999999999</c:v>
                </c:pt>
                <c:pt idx="44">
                  <c:v>0.30499999999999999</c:v>
                </c:pt>
                <c:pt idx="45">
                  <c:v>0.29460000000000003</c:v>
                </c:pt>
                <c:pt idx="46">
                  <c:v>0.27729999999999999</c:v>
                </c:pt>
                <c:pt idx="47">
                  <c:v>0.2631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52-47EA-B2BA-084CAB56B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5076016"/>
        <c:axId val="1715076496"/>
      </c:lineChart>
      <c:lineChart>
        <c:grouping val="standard"/>
        <c:varyColors val="0"/>
        <c:ser>
          <c:idx val="3"/>
          <c:order val="2"/>
          <c:tx>
            <c:strRef>
              <c:f>'Secondary Axis'!$D$5</c:f>
              <c:strCache>
                <c:ptCount val="1"/>
                <c:pt idx="0">
                  <c:v>Other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'Secondary Axis'!$D$6:$D$53</c:f>
              <c:numCache>
                <c:formatCode>0.0%</c:formatCode>
                <c:ptCount val="48"/>
                <c:pt idx="0">
                  <c:v>2.5399999999999999E-2</c:v>
                </c:pt>
                <c:pt idx="1">
                  <c:v>2.5600000000000001E-2</c:v>
                </c:pt>
                <c:pt idx="2">
                  <c:v>2.4799999999999999E-2</c:v>
                </c:pt>
                <c:pt idx="3">
                  <c:v>2.0799999999999999E-2</c:v>
                </c:pt>
                <c:pt idx="4">
                  <c:v>2.0799999999999999E-2</c:v>
                </c:pt>
                <c:pt idx="5">
                  <c:v>2.1400000000000002E-2</c:v>
                </c:pt>
                <c:pt idx="6">
                  <c:v>2.07E-2</c:v>
                </c:pt>
                <c:pt idx="7">
                  <c:v>2.0400000000000001E-2</c:v>
                </c:pt>
                <c:pt idx="8">
                  <c:v>2.2200000000000001E-2</c:v>
                </c:pt>
                <c:pt idx="9">
                  <c:v>2.4E-2</c:v>
                </c:pt>
                <c:pt idx="10">
                  <c:v>2.3900000000000001E-2</c:v>
                </c:pt>
                <c:pt idx="11">
                  <c:v>2.3599999999999999E-2</c:v>
                </c:pt>
                <c:pt idx="12">
                  <c:v>2.52E-2</c:v>
                </c:pt>
                <c:pt idx="13">
                  <c:v>2.6099999999999998E-2</c:v>
                </c:pt>
                <c:pt idx="14">
                  <c:v>2.7300000000000001E-2</c:v>
                </c:pt>
                <c:pt idx="15">
                  <c:v>2.8199999999999999E-2</c:v>
                </c:pt>
                <c:pt idx="16">
                  <c:v>2.9100000000000001E-2</c:v>
                </c:pt>
                <c:pt idx="17">
                  <c:v>3.1899999999999998E-2</c:v>
                </c:pt>
                <c:pt idx="18">
                  <c:v>3.4000000000000002E-2</c:v>
                </c:pt>
                <c:pt idx="19">
                  <c:v>3.4300000000000004E-2</c:v>
                </c:pt>
                <c:pt idx="20">
                  <c:v>3.44E-2</c:v>
                </c:pt>
                <c:pt idx="21">
                  <c:v>3.56E-2</c:v>
                </c:pt>
                <c:pt idx="22">
                  <c:v>3.6799999999999999E-2</c:v>
                </c:pt>
                <c:pt idx="23">
                  <c:v>3.6499999999999998E-2</c:v>
                </c:pt>
                <c:pt idx="24">
                  <c:v>3.7400000000000003E-2</c:v>
                </c:pt>
                <c:pt idx="25">
                  <c:v>3.7900000000000003E-2</c:v>
                </c:pt>
                <c:pt idx="26">
                  <c:v>3.7100000000000001E-2</c:v>
                </c:pt>
                <c:pt idx="27">
                  <c:v>3.6499999999999998E-2</c:v>
                </c:pt>
                <c:pt idx="28">
                  <c:v>3.6000000000000004E-2</c:v>
                </c:pt>
                <c:pt idx="29">
                  <c:v>3.61E-2</c:v>
                </c:pt>
                <c:pt idx="30">
                  <c:v>3.5900000000000001E-2</c:v>
                </c:pt>
                <c:pt idx="31">
                  <c:v>3.5000000000000003E-2</c:v>
                </c:pt>
                <c:pt idx="32">
                  <c:v>3.5400000000000001E-2</c:v>
                </c:pt>
                <c:pt idx="33">
                  <c:v>3.85E-2</c:v>
                </c:pt>
                <c:pt idx="34">
                  <c:v>4.0999999999999995E-2</c:v>
                </c:pt>
                <c:pt idx="35">
                  <c:v>4.3099999999999999E-2</c:v>
                </c:pt>
                <c:pt idx="36">
                  <c:v>4.5499999999999999E-2</c:v>
                </c:pt>
                <c:pt idx="37">
                  <c:v>4.7199999999999999E-2</c:v>
                </c:pt>
                <c:pt idx="38">
                  <c:v>4.8399999999999999E-2</c:v>
                </c:pt>
                <c:pt idx="39">
                  <c:v>4.9599999999999998E-2</c:v>
                </c:pt>
                <c:pt idx="40">
                  <c:v>5.2199999999999996E-2</c:v>
                </c:pt>
                <c:pt idx="41">
                  <c:v>5.45E-2</c:v>
                </c:pt>
                <c:pt idx="42">
                  <c:v>5.33E-2</c:v>
                </c:pt>
                <c:pt idx="43">
                  <c:v>5.33E-2</c:v>
                </c:pt>
                <c:pt idx="44">
                  <c:v>5.3499999999999999E-2</c:v>
                </c:pt>
                <c:pt idx="45">
                  <c:v>5.3699999999999998E-2</c:v>
                </c:pt>
                <c:pt idx="46">
                  <c:v>5.3399999999999996E-2</c:v>
                </c:pt>
                <c:pt idx="47">
                  <c:v>5.2699999999999997E-2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52-47EA-B2BA-084CAB56B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231040"/>
        <c:axId val="1553241120"/>
      </c:lineChart>
      <c:catAx>
        <c:axId val="1715076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076496"/>
        <c:crosses val="autoZero"/>
        <c:auto val="1"/>
        <c:lblAlgn val="ctr"/>
        <c:lblOffset val="100"/>
        <c:noMultiLvlLbl val="0"/>
      </c:catAx>
      <c:valAx>
        <c:axId val="171507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076016"/>
        <c:crosses val="autoZero"/>
        <c:crossBetween val="between"/>
      </c:valAx>
      <c:valAx>
        <c:axId val="155324112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3231040"/>
        <c:crosses val="max"/>
        <c:crossBetween val="between"/>
      </c:valAx>
      <c:catAx>
        <c:axId val="1553231040"/>
        <c:scaling>
          <c:orientation val="minMax"/>
        </c:scaling>
        <c:delete val="1"/>
        <c:axPos val="b"/>
        <c:majorTickMark val="out"/>
        <c:minorTickMark val="none"/>
        <c:tickLblPos val="nextTo"/>
        <c:crossAx val="15532411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Number of users</c:v>
                </c:pt>
              </c:strCache>
            </c:strRef>
          </c:tx>
          <c:dPt>
            <c:idx val="0"/>
            <c:bubble3D val="0"/>
            <c:explosion val="17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8F-4909-8673-40E0A632CBAD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4F8F-4909-8673-40E0A632CB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931-46CD-8B1A-800ABCB8942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931-46CD-8B1A-800ABCB8942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Chart'!$A$4:$A$7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'Pie Chart'!$B$4:$B$7</c:f>
              <c:numCache>
                <c:formatCode>General</c:formatCode>
                <c:ptCount val="4"/>
                <c:pt idx="0">
                  <c:v>189</c:v>
                </c:pt>
                <c:pt idx="1">
                  <c:v>1082</c:v>
                </c:pt>
                <c:pt idx="2">
                  <c:v>612</c:v>
                </c:pt>
                <c:pt idx="3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F-4909-8673-40E0A632CBA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Chart'!$B$4:$B$15</c:f>
              <c:numCache>
                <c:formatCode>General</c:formatCode>
                <c:ptCount val="12"/>
                <c:pt idx="0">
                  <c:v>31256</c:v>
                </c:pt>
                <c:pt idx="1">
                  <c:v>25019</c:v>
                </c:pt>
                <c:pt idx="2">
                  <c:v>27692</c:v>
                </c:pt>
                <c:pt idx="3">
                  <c:v>28333</c:v>
                </c:pt>
                <c:pt idx="4">
                  <c:v>34419</c:v>
                </c:pt>
                <c:pt idx="5">
                  <c:v>29706</c:v>
                </c:pt>
                <c:pt idx="6">
                  <c:v>39233</c:v>
                </c:pt>
                <c:pt idx="7">
                  <c:v>28154</c:v>
                </c:pt>
                <c:pt idx="8">
                  <c:v>27386</c:v>
                </c:pt>
                <c:pt idx="9">
                  <c:v>33320</c:v>
                </c:pt>
                <c:pt idx="10">
                  <c:v>25418</c:v>
                </c:pt>
                <c:pt idx="11">
                  <c:v>30132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4-488F-9408-5BBAEC3BBC87}"/>
            </c:ext>
          </c:extLst>
        </c:ser>
        <c:ser>
          <c:idx val="1"/>
          <c:order val="1"/>
          <c:tx>
            <c:strRef>
              <c:f>'Combo Chart'!$C$3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'Combo Chart'!$A$4:$A$15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Chart'!$C$4:$C$15</c:f>
              <c:numCache>
                <c:formatCode>General</c:formatCode>
                <c:ptCount val="12"/>
                <c:pt idx="0">
                  <c:v>13823</c:v>
                </c:pt>
                <c:pt idx="1">
                  <c:v>19127</c:v>
                </c:pt>
                <c:pt idx="2">
                  <c:v>18647</c:v>
                </c:pt>
                <c:pt idx="3">
                  <c:v>18050</c:v>
                </c:pt>
                <c:pt idx="4">
                  <c:v>12793</c:v>
                </c:pt>
                <c:pt idx="5">
                  <c:v>17006</c:v>
                </c:pt>
                <c:pt idx="6">
                  <c:v>11867</c:v>
                </c:pt>
                <c:pt idx="7">
                  <c:v>10225</c:v>
                </c:pt>
                <c:pt idx="8">
                  <c:v>13842</c:v>
                </c:pt>
                <c:pt idx="9">
                  <c:v>14610</c:v>
                </c:pt>
                <c:pt idx="10">
                  <c:v>14096</c:v>
                </c:pt>
                <c:pt idx="11">
                  <c:v>13629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14-488F-9408-5BBAEC3B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97763328"/>
        <c:axId val="1697766208"/>
      </c:barChart>
      <c:lineChart>
        <c:grouping val="standard"/>
        <c:varyColors val="0"/>
        <c:ser>
          <c:idx val="2"/>
          <c:order val="2"/>
          <c:tx>
            <c:strRef>
              <c:f>'Combo Chart'!$D$3</c:f>
              <c:strCache>
                <c:ptCount val="1"/>
                <c:pt idx="0">
                  <c:v>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'Combo Chart'!$A$4:$A$15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Chart'!$D$4:$D$15</c:f>
              <c:numCache>
                <c:formatCode>0.00%</c:formatCode>
                <c:ptCount val="12"/>
                <c:pt idx="0">
                  <c:v>1.2999999999999999E-2</c:v>
                </c:pt>
                <c:pt idx="1">
                  <c:v>0.02</c:v>
                </c:pt>
                <c:pt idx="2">
                  <c:v>1.0999999999999999E-2</c:v>
                </c:pt>
                <c:pt idx="3">
                  <c:v>1.7500000000000002E-2</c:v>
                </c:pt>
                <c:pt idx="4">
                  <c:v>1.2E-2</c:v>
                </c:pt>
                <c:pt idx="5">
                  <c:v>2.3E-2</c:v>
                </c:pt>
                <c:pt idx="6">
                  <c:v>3.1E-2</c:v>
                </c:pt>
                <c:pt idx="7">
                  <c:v>4.2000000000000003E-2</c:v>
                </c:pt>
                <c:pt idx="8">
                  <c:v>2.3E-2</c:v>
                </c:pt>
                <c:pt idx="9">
                  <c:v>1.0999999999999999E-2</c:v>
                </c:pt>
                <c:pt idx="10">
                  <c:v>3.2000000000000001E-2</c:v>
                </c:pt>
                <c:pt idx="11">
                  <c:v>2.9000000000000001E-2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14-488F-9408-5BBAEC3B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8137952"/>
        <c:axId val="1868125472"/>
      </c:lineChart>
      <c:catAx>
        <c:axId val="1697763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766208"/>
        <c:crosses val="autoZero"/>
        <c:auto val="1"/>
        <c:lblAlgn val="ctr"/>
        <c:lblOffset val="100"/>
        <c:noMultiLvlLbl val="0"/>
      </c:catAx>
      <c:valAx>
        <c:axId val="16977662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7763328"/>
        <c:crosses val="autoZero"/>
        <c:crossBetween val="between"/>
      </c:valAx>
      <c:valAx>
        <c:axId val="186812547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137952"/>
        <c:crosses val="max"/>
        <c:crossBetween val="between"/>
      </c:valAx>
      <c:catAx>
        <c:axId val="1868137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6812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 Chart'!$B$37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Chart'!$A$38:$A$49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'Combo Chart'!$B$38:$B$49</c:f>
              <c:numCache>
                <c:formatCode>General</c:formatCode>
                <c:ptCount val="12"/>
                <c:pt idx="0">
                  <c:v>31256</c:v>
                </c:pt>
                <c:pt idx="1">
                  <c:v>25019</c:v>
                </c:pt>
                <c:pt idx="2">
                  <c:v>27692</c:v>
                </c:pt>
                <c:pt idx="3">
                  <c:v>28333</c:v>
                </c:pt>
                <c:pt idx="4">
                  <c:v>34419</c:v>
                </c:pt>
                <c:pt idx="5">
                  <c:v>29706</c:v>
                </c:pt>
                <c:pt idx="6">
                  <c:v>39233</c:v>
                </c:pt>
                <c:pt idx="7">
                  <c:v>28154</c:v>
                </c:pt>
                <c:pt idx="8">
                  <c:v>27386</c:v>
                </c:pt>
                <c:pt idx="9">
                  <c:v>33320</c:v>
                </c:pt>
                <c:pt idx="10">
                  <c:v>25418</c:v>
                </c:pt>
                <c:pt idx="11">
                  <c:v>30132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7-42BD-ACFF-E8693923D092}"/>
            </c:ext>
          </c:extLst>
        </c:ser>
        <c:ser>
          <c:idx val="1"/>
          <c:order val="1"/>
          <c:tx>
            <c:v>Maximum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'Combo Chart'!$C$38:$C$49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39233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77-42BD-ACFF-E8693923D092}"/>
            </c:ext>
          </c:extLst>
        </c:ser>
        <c:ser>
          <c:idx val="2"/>
          <c:order val="2"/>
          <c:tx>
            <c:v>Min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'Combo Chart'!$D$38:$D$49</c:f>
              <c:numCache>
                <c:formatCode>General</c:formatCode>
                <c:ptCount val="12"/>
                <c:pt idx="0">
                  <c:v>0</c:v>
                </c:pt>
                <c:pt idx="1">
                  <c:v>25019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77-42BD-ACFF-E8693923D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9"/>
        <c:overlap val="100"/>
        <c:axId val="1868142272"/>
        <c:axId val="1868142752"/>
      </c:barChart>
      <c:catAx>
        <c:axId val="186814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142752"/>
        <c:crosses val="autoZero"/>
        <c:auto val="1"/>
        <c:lblAlgn val="ctr"/>
        <c:lblOffset val="100"/>
        <c:noMultiLvlLbl val="0"/>
      </c:catAx>
      <c:valAx>
        <c:axId val="186814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14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242424242424243"/>
          <c:y val="0.10648148148148148"/>
          <c:w val="0.55151515151515151"/>
          <c:h val="0.84259259259259256"/>
        </c:manualLayout>
      </c:layout>
      <c:doughnutChart>
        <c:varyColors val="1"/>
        <c:ser>
          <c:idx val="0"/>
          <c:order val="0"/>
          <c:tx>
            <c:strRef>
              <c:f>'Half-Circle-KPI'!$A$1</c:f>
              <c:strCache>
                <c:ptCount val="1"/>
                <c:pt idx="0">
                  <c:v>Securtiy Level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82-4694-A682-6238AEFDB9C0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82-4694-A682-6238AEFDB9C0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482-4694-A682-6238AEFDB9C0}"/>
              </c:ext>
            </c:extLst>
          </c:dPt>
          <c:dLbls>
            <c:delete val="1"/>
          </c:dLbls>
          <c:val>
            <c:numRef>
              <c:f>'Half-Circle-KPI'!$B$1:$D$1</c:f>
              <c:numCache>
                <c:formatCode>;;;</c:formatCode>
                <c:ptCount val="3"/>
                <c:pt idx="0" formatCode="0%">
                  <c:v>0.56000000000000005</c:v>
                </c:pt>
                <c:pt idx="1">
                  <c:v>0.43999999999999995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82-4694-A682-6238AEFDB9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6D-49A9-AC61-9F6490D260BF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6D-49A9-AC61-9F6490D260BF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6D-49A9-AC61-9F6490D260BF}"/>
              </c:ext>
            </c:extLst>
          </c:dPt>
          <c:val>
            <c:numRef>
              <c:f>'Half-Circle-KPI'!$B$2:$D$2</c:f>
              <c:numCache>
                <c:formatCode>;;;</c:formatCode>
                <c:ptCount val="3"/>
                <c:pt idx="0" formatCode="0%">
                  <c:v>0.34</c:v>
                </c:pt>
                <c:pt idx="1">
                  <c:v>0.65999999999999992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86D-49A9-AC61-9F6490D26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111111111111113"/>
          <c:y val="8.7962962962962965E-2"/>
          <c:w val="0.53888888888888886"/>
          <c:h val="0.8981481481481481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92-4633-B686-8B6317BA3D98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92-4633-B686-8B6317BA3D98}"/>
              </c:ext>
            </c:extLst>
          </c:dPt>
          <c:dPt>
            <c:idx val="2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92-4633-B686-8B6317BA3D98}"/>
              </c:ext>
            </c:extLst>
          </c:dPt>
          <c:val>
            <c:numRef>
              <c:f>'Half-Circle-KPI'!$B$3:$D$3</c:f>
              <c:numCache>
                <c:formatCode>;;;</c:formatCode>
                <c:ptCount val="3"/>
                <c:pt idx="0" formatCode="0%">
                  <c:v>0.56999999999999995</c:v>
                </c:pt>
                <c:pt idx="1">
                  <c:v>0.43000000000000005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92-4633-B686-8B6317BA3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0070C0"/>
            </a:solidFill>
          </c:spPr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6C-4755-9A75-519528032FF1}"/>
              </c:ext>
            </c:extLst>
          </c:dPt>
          <c:dPt>
            <c:idx val="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6C-4755-9A75-519528032FF1}"/>
              </c:ext>
            </c:extLst>
          </c:dPt>
          <c:dPt>
            <c:idx val="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6C-4755-9A75-519528032FF1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6C-4755-9A75-519528032FF1}"/>
              </c:ext>
            </c:extLst>
          </c:dPt>
          <c:dPt>
            <c:idx val="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6C-4755-9A75-519528032FF1}"/>
              </c:ext>
            </c:extLst>
          </c:dPt>
          <c:dPt>
            <c:idx val="5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C6C-4755-9A75-519528032FF1}"/>
              </c:ext>
            </c:extLst>
          </c:dPt>
          <c:dPt>
            <c:idx val="6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C6C-4755-9A75-519528032FF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C6C-4755-9A75-519528032FF1}"/>
              </c:ext>
            </c:extLst>
          </c:dPt>
          <c:dPt>
            <c:idx val="8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C6C-4755-9A75-519528032FF1}"/>
              </c:ext>
            </c:extLst>
          </c:dPt>
          <c:dPt>
            <c:idx val="9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C6C-4755-9A75-519528032FF1}"/>
              </c:ext>
            </c:extLst>
          </c:dPt>
          <c:dPt>
            <c:idx val="1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C6C-4755-9A75-519528032FF1}"/>
              </c:ext>
            </c:extLst>
          </c:dPt>
          <c:dPt>
            <c:idx val="11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C6C-4755-9A75-519528032FF1}"/>
              </c:ext>
            </c:extLst>
          </c:dPt>
          <c:dPt>
            <c:idx val="12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C6C-4755-9A75-519528032FF1}"/>
              </c:ext>
            </c:extLst>
          </c:dPt>
          <c:dPt>
            <c:idx val="1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C6C-4755-9A75-519528032FF1}"/>
              </c:ext>
            </c:extLst>
          </c:dPt>
          <c:dPt>
            <c:idx val="14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C6C-4755-9A75-519528032FF1}"/>
              </c:ext>
            </c:extLst>
          </c:dPt>
          <c:dPt>
            <c:idx val="15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C6C-4755-9A75-519528032FF1}"/>
              </c:ext>
            </c:extLst>
          </c:dPt>
          <c:dPt>
            <c:idx val="16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C6C-4755-9A75-519528032FF1}"/>
              </c:ext>
            </c:extLst>
          </c:dPt>
          <c:dPt>
            <c:idx val="1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C6C-4755-9A75-519528032FF1}"/>
              </c:ext>
            </c:extLst>
          </c:dPt>
          <c:dPt>
            <c:idx val="18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C6C-4755-9A75-519528032FF1}"/>
              </c:ext>
            </c:extLst>
          </c:dPt>
          <c:dPt>
            <c:idx val="19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C6C-4755-9A75-519528032FF1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BC6C-4755-9A75-519528032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'Progress circle chart KPI'!$A$1</c:f>
              <c:strCache>
                <c:ptCount val="1"/>
                <c:pt idx="0">
                  <c:v>Securtiy Level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BC6C-4755-9A75-519528032FF1}"/>
              </c:ext>
            </c:extLst>
          </c:dPt>
          <c:dPt>
            <c:idx val="1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BC6C-4755-9A75-519528032FF1}"/>
              </c:ext>
            </c:extLst>
          </c:dPt>
          <c:val>
            <c:numRef>
              <c:f>'Progress circle chart KPI'!$B$1:$C$1</c:f>
              <c:numCache>
                <c:formatCode>0%</c:formatCode>
                <c:ptCount val="2"/>
                <c:pt idx="0">
                  <c:v>0.89</c:v>
                </c:pt>
                <c:pt idx="1">
                  <c:v>0.10999999999999999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BC6C-4755-9A75-519528032F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6E-46DA-9096-A6B3F9AF7949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6E-46DA-9096-A6B3F9AF7949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6E-46DA-9096-A6B3F9AF7949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6E-46DA-9096-A6B3F9AF7949}"/>
              </c:ext>
            </c:extLst>
          </c:dPt>
          <c:dPt>
            <c:idx val="4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6E-46DA-9096-A6B3F9AF7949}"/>
              </c:ext>
            </c:extLst>
          </c:dPt>
          <c:dPt>
            <c:idx val="5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E6E-46DA-9096-A6B3F9AF7949}"/>
              </c:ext>
            </c:extLst>
          </c:dPt>
          <c:dPt>
            <c:idx val="6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E6E-46DA-9096-A6B3F9AF7949}"/>
              </c:ext>
            </c:extLst>
          </c:dPt>
          <c:dPt>
            <c:idx val="7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E6E-46DA-9096-A6B3F9AF7949}"/>
              </c:ext>
            </c:extLst>
          </c:dPt>
          <c:dPt>
            <c:idx val="8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E6E-46DA-9096-A6B3F9AF7949}"/>
              </c:ext>
            </c:extLst>
          </c:dPt>
          <c:dPt>
            <c:idx val="9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E6E-46DA-9096-A6B3F9AF7949}"/>
              </c:ext>
            </c:extLst>
          </c:dPt>
          <c:dPt>
            <c:idx val="1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E6E-46DA-9096-A6B3F9AF794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E6E-46DA-9096-A6B3F9AF7949}"/>
              </c:ext>
            </c:extLst>
          </c:dPt>
          <c:dPt>
            <c:idx val="1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E6E-46DA-9096-A6B3F9AF7949}"/>
              </c:ext>
            </c:extLst>
          </c:dPt>
          <c:dPt>
            <c:idx val="1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E6E-46DA-9096-A6B3F9AF7949}"/>
              </c:ext>
            </c:extLst>
          </c:dPt>
          <c:dPt>
            <c:idx val="14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E6E-46DA-9096-A6B3F9AF7949}"/>
              </c:ext>
            </c:extLst>
          </c:dPt>
          <c:dPt>
            <c:idx val="15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E6E-46DA-9096-A6B3F9AF7949}"/>
              </c:ext>
            </c:extLst>
          </c:dPt>
          <c:dPt>
            <c:idx val="16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E6E-46DA-9096-A6B3F9AF7949}"/>
              </c:ext>
            </c:extLst>
          </c:dPt>
          <c:dPt>
            <c:idx val="17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E6E-46DA-9096-A6B3F9AF7949}"/>
              </c:ext>
            </c:extLst>
          </c:dPt>
          <c:dPt>
            <c:idx val="18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E6E-46DA-9096-A6B3F9AF7949}"/>
              </c:ext>
            </c:extLst>
          </c:dPt>
          <c:dPt>
            <c:idx val="19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E6E-46DA-9096-A6B3F9AF7949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2E6E-46DA-9096-A6B3F9AF7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'Progress circle chart KPI'!$A$2</c:f>
              <c:strCache>
                <c:ptCount val="1"/>
                <c:pt idx="0">
                  <c:v>Productivity%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2E6E-46DA-9096-A6B3F9AF7949}"/>
              </c:ext>
            </c:extLst>
          </c:dPt>
          <c:dPt>
            <c:idx val="1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2E6E-46DA-9096-A6B3F9AF7949}"/>
              </c:ext>
            </c:extLst>
          </c:dPt>
          <c:val>
            <c:numRef>
              <c:f>'Progress circle chart KPI'!$B$2:$C$2</c:f>
              <c:numCache>
                <c:formatCode>0%</c:formatCode>
                <c:ptCount val="2"/>
                <c:pt idx="0">
                  <c:v>0.67</c:v>
                </c:pt>
                <c:pt idx="1">
                  <c:v>0.32999999999999996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E6E-46DA-9096-A6B3F9AF79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chemeClr val="accent2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2F6-4FED-8130-F75722A0AC56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2F6-4FED-8130-F75722A0AC56}"/>
              </c:ext>
            </c:extLst>
          </c:dPt>
          <c:dPt>
            <c:idx val="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2F6-4FED-8130-F75722A0AC56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2F6-4FED-8130-F75722A0AC56}"/>
              </c:ext>
            </c:extLst>
          </c:dPt>
          <c:dPt>
            <c:idx val="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2F6-4FED-8130-F75722A0AC56}"/>
              </c:ext>
            </c:extLst>
          </c:dPt>
          <c:dPt>
            <c:idx val="5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2F6-4FED-8130-F75722A0AC56}"/>
              </c:ext>
            </c:extLst>
          </c:dPt>
          <c:dPt>
            <c:idx val="6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2F6-4FED-8130-F75722A0AC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2F6-4FED-8130-F75722A0AC56}"/>
              </c:ext>
            </c:extLst>
          </c:dPt>
          <c:dPt>
            <c:idx val="8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2F6-4FED-8130-F75722A0AC56}"/>
              </c:ext>
            </c:extLst>
          </c:dPt>
          <c:dPt>
            <c:idx val="9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2F6-4FED-8130-F75722A0AC56}"/>
              </c:ext>
            </c:extLst>
          </c:dPt>
          <c:dPt>
            <c:idx val="10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2F6-4FED-8130-F75722A0AC56}"/>
              </c:ext>
            </c:extLst>
          </c:dPt>
          <c:dPt>
            <c:idx val="1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2F6-4FED-8130-F75722A0AC56}"/>
              </c:ext>
            </c:extLst>
          </c:dPt>
          <c:dPt>
            <c:idx val="12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2F6-4FED-8130-F75722A0AC5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2F6-4FED-8130-F75722A0AC56}"/>
              </c:ext>
            </c:extLst>
          </c:dPt>
          <c:dPt>
            <c:idx val="14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2F6-4FED-8130-F75722A0AC56}"/>
              </c:ext>
            </c:extLst>
          </c:dPt>
          <c:dPt>
            <c:idx val="15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2F6-4FED-8130-F75722A0AC56}"/>
              </c:ext>
            </c:extLst>
          </c:dPt>
          <c:dPt>
            <c:idx val="16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2F6-4FED-8130-F75722A0AC56}"/>
              </c:ext>
            </c:extLst>
          </c:dPt>
          <c:dPt>
            <c:idx val="17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2F6-4FED-8130-F75722A0AC56}"/>
              </c:ext>
            </c:extLst>
          </c:dPt>
          <c:dPt>
            <c:idx val="18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2F6-4FED-8130-F75722A0AC56}"/>
              </c:ext>
            </c:extLst>
          </c:dPt>
          <c:dPt>
            <c:idx val="19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2F6-4FED-8130-F75722A0AC56}"/>
              </c:ext>
            </c:extLst>
          </c:dPt>
          <c:val>
            <c:numLit>
              <c:formatCode>General</c:formatCode>
              <c:ptCount val="20"/>
              <c:pt idx="0">
                <c:v>1</c:v>
              </c:pt>
              <c:pt idx="1">
                <c:v>1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1</c:v>
              </c:pt>
              <c:pt idx="9">
                <c:v>1</c:v>
              </c:pt>
              <c:pt idx="10">
                <c:v>1</c:v>
              </c:pt>
              <c:pt idx="11">
                <c:v>1</c:v>
              </c:pt>
              <c:pt idx="12">
                <c:v>1</c:v>
              </c:pt>
              <c:pt idx="13">
                <c:v>1</c:v>
              </c:pt>
              <c:pt idx="14">
                <c:v>1</c:v>
              </c:pt>
              <c:pt idx="15">
                <c:v>1</c:v>
              </c:pt>
              <c:pt idx="16">
                <c:v>1</c:v>
              </c:pt>
              <c:pt idx="17">
                <c:v>1</c:v>
              </c:pt>
              <c:pt idx="18">
                <c:v>1</c:v>
              </c:pt>
              <c:pt idx="1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28-F2F6-4FED-8130-F75722A0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doughnutChart>
        <c:varyColors val="1"/>
        <c:ser>
          <c:idx val="1"/>
          <c:order val="1"/>
          <c:tx>
            <c:strRef>
              <c:f>'Progress circle chart KPI'!$A$3</c:f>
              <c:strCache>
                <c:ptCount val="1"/>
                <c:pt idx="0">
                  <c:v>Sales Conversion%</c:v>
                </c:pt>
              </c:strCache>
            </c:strRef>
          </c:tx>
          <c:dPt>
            <c:idx val="0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A-F2F6-4FED-8130-F75722A0AC56}"/>
              </c:ext>
            </c:extLst>
          </c:dPt>
          <c:dPt>
            <c:idx val="1"/>
            <c:bubble3D val="0"/>
            <c:spPr>
              <a:solidFill>
                <a:schemeClr val="accent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C-F2F6-4FED-8130-F75722A0AC56}"/>
              </c:ext>
            </c:extLst>
          </c:dPt>
          <c:val>
            <c:numRef>
              <c:f>'Progress circle chart KPI'!$B$3:$C$3</c:f>
              <c:numCache>
                <c:formatCode>0%</c:formatCode>
                <c:ptCount val="2"/>
                <c:pt idx="0">
                  <c:v>0.67</c:v>
                </c:pt>
                <c:pt idx="1">
                  <c:v>0.32999999999999996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F2F6-4FED-8130-F75722A0A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Widget and Sprocket Sales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'Column Chart Ex2'!$C$4</c:f>
              <c:strCache>
                <c:ptCount val="1"/>
                <c:pt idx="0">
                  <c:v>Sprockets</c:v>
                </c:pt>
              </c:strCache>
            </c:strRef>
          </c:tx>
          <c:invertIfNegative val="0"/>
          <c:cat>
            <c:strRef>
              <c:f>'Column Chart Ex2'!$A$5:$A$9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Chart Ex2'!$C$5:$C$9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9C-4DF7-ACAF-3FE3A4B0C483}"/>
            </c:ext>
          </c:extLst>
        </c:ser>
        <c:ser>
          <c:idx val="0"/>
          <c:order val="0"/>
          <c:tx>
            <c:strRef>
              <c:f>'Column Chart Ex2'!$B$4</c:f>
              <c:strCache>
                <c:ptCount val="1"/>
                <c:pt idx="0">
                  <c:v>Widgets</c:v>
                </c:pt>
              </c:strCache>
            </c:strRef>
          </c:tx>
          <c:invertIfNegative val="0"/>
          <c:cat>
            <c:strRef>
              <c:f>'Column Chart Ex2'!$A$5:$A$9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Chart Ex2'!$B$5:$B$9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9C-4DF7-ACAF-3FE3A4B0C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48194384"/>
        <c:axId val="-948196560"/>
      </c:barChart>
      <c:catAx>
        <c:axId val="-94819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96560"/>
        <c:crosses val="autoZero"/>
        <c:auto val="1"/>
        <c:lblAlgn val="ctr"/>
        <c:lblOffset val="100"/>
        <c:noMultiLvlLbl val="0"/>
      </c:catAx>
      <c:valAx>
        <c:axId val="-94819656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943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 paperSize="0" orientation="landscape" horizontalDpi="0" verticalDpi="0" copies="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'Column Chart Ex2'!$B$4</c:f>
              <c:strCache>
                <c:ptCount val="1"/>
                <c:pt idx="0">
                  <c:v>Widgets</c:v>
                </c:pt>
              </c:strCache>
            </c:strRef>
          </c:tx>
          <c:invertIfNegative val="0"/>
          <c:cat>
            <c:strRef>
              <c:f>'Column Chart Ex2'!$A$5:$A$9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Chart Ex2'!$B$5:$B$9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94-4674-862D-842E7224C4AA}"/>
            </c:ext>
          </c:extLst>
        </c:ser>
        <c:ser>
          <c:idx val="1"/>
          <c:order val="1"/>
          <c:tx>
            <c:strRef>
              <c:f>'Column Chart Ex2'!$C$4</c:f>
              <c:strCache>
                <c:ptCount val="1"/>
                <c:pt idx="0">
                  <c:v>Sprockets</c:v>
                </c:pt>
              </c:strCache>
            </c:strRef>
          </c:tx>
          <c:invertIfNegative val="0"/>
          <c:cat>
            <c:strRef>
              <c:f>'Column Chart Ex2'!$A$5:$A$9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Chart Ex2'!$C$5:$C$9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94-4674-862D-842E7224C4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48199280"/>
        <c:axId val="-948198192"/>
      </c:barChart>
      <c:catAx>
        <c:axId val="-948199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98192"/>
        <c:crosses val="autoZero"/>
        <c:auto val="1"/>
        <c:lblAlgn val="ctr"/>
        <c:lblOffset val="100"/>
        <c:noMultiLvlLbl val="0"/>
      </c:catAx>
      <c:valAx>
        <c:axId val="-94819819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992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 paperSize="0" orientation="landscape" horizontalDpi="0" verticalDpi="0" copies="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Widget and Sprocket Sales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'Column Chart Ex2'!$C$4</c:f>
              <c:strCache>
                <c:ptCount val="1"/>
                <c:pt idx="0">
                  <c:v>Sprockets</c:v>
                </c:pt>
              </c:strCache>
            </c:strRef>
          </c:tx>
          <c:invertIfNegative val="0"/>
          <c:cat>
            <c:strRef>
              <c:f>'Column Chart Ex2'!$A$5:$A$9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Chart Ex2'!$C$5:$C$9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6-44D6-B42A-A629E08459BE}"/>
            </c:ext>
          </c:extLst>
        </c:ser>
        <c:ser>
          <c:idx val="0"/>
          <c:order val="0"/>
          <c:tx>
            <c:strRef>
              <c:f>'Column Chart Ex2'!$B$4</c:f>
              <c:strCache>
                <c:ptCount val="1"/>
                <c:pt idx="0">
                  <c:v>Widgets</c:v>
                </c:pt>
              </c:strCache>
            </c:strRef>
          </c:tx>
          <c:invertIfNegative val="0"/>
          <c:cat>
            <c:strRef>
              <c:f>'Column Chart Ex2'!$A$5:$A$9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Chart Ex2'!$B$5:$B$9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76-44D6-B42A-A629E0845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948186768"/>
        <c:axId val="-948186224"/>
      </c:barChart>
      <c:catAx>
        <c:axId val="-948186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86224"/>
        <c:crosses val="autoZero"/>
        <c:auto val="1"/>
        <c:lblAlgn val="ctr"/>
        <c:lblOffset val="100"/>
        <c:noMultiLvlLbl val="0"/>
      </c:catAx>
      <c:valAx>
        <c:axId val="-94818622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867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paperSize="0" orientation="landscape" horizontalDpi="0" verticalDpi="0" copies="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Widget and Sprocket Sales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1"/>
          <c:order val="1"/>
          <c:tx>
            <c:strRef>
              <c:f>'Column Chart Ex2'!$C$4</c:f>
              <c:strCache>
                <c:ptCount val="1"/>
                <c:pt idx="0">
                  <c:v>Sprockets</c:v>
                </c:pt>
              </c:strCache>
            </c:strRef>
          </c:tx>
          <c:invertIfNegative val="0"/>
          <c:cat>
            <c:strRef>
              <c:f>'Column Chart Ex2'!$A$5:$A$9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Chart Ex2'!$C$5:$C$9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E6-458F-B2F5-9D6511CBE344}"/>
            </c:ext>
          </c:extLst>
        </c:ser>
        <c:ser>
          <c:idx val="0"/>
          <c:order val="0"/>
          <c:tx>
            <c:strRef>
              <c:f>'Column Chart Ex2'!$B$4</c:f>
              <c:strCache>
                <c:ptCount val="1"/>
                <c:pt idx="0">
                  <c:v>Widgets</c:v>
                </c:pt>
              </c:strCache>
            </c:strRef>
          </c:tx>
          <c:invertIfNegative val="0"/>
          <c:cat>
            <c:strRef>
              <c:f>'Column Chart Ex2'!$A$5:$A$9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Chart Ex2'!$B$5:$B$9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E6-458F-B2F5-9D6511CBE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948198736"/>
        <c:axId val="-948190576"/>
        <c:axId val="0"/>
      </c:bar3DChart>
      <c:catAx>
        <c:axId val="-948198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90576"/>
        <c:crosses val="autoZero"/>
        <c:auto val="1"/>
        <c:lblAlgn val="ctr"/>
        <c:lblOffset val="100"/>
        <c:noMultiLvlLbl val="0"/>
      </c:catAx>
      <c:valAx>
        <c:axId val="-948190576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98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paperSize="0" orientation="landscape" horizontalDpi="0" verticalDpi="0" copies="0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Widget and Sprocket Sales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ndard"/>
        <c:varyColors val="0"/>
        <c:ser>
          <c:idx val="1"/>
          <c:order val="1"/>
          <c:tx>
            <c:strRef>
              <c:f>'Column Chart Ex2'!$C$4</c:f>
              <c:strCache>
                <c:ptCount val="1"/>
                <c:pt idx="0">
                  <c:v>Sprockets</c:v>
                </c:pt>
              </c:strCache>
            </c:strRef>
          </c:tx>
          <c:invertIfNegative val="0"/>
          <c:cat>
            <c:strRef>
              <c:f>'Column Chart Ex2'!$A$5:$A$9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Chart Ex2'!$C$5:$C$9</c:f>
              <c:numCache>
                <c:formatCode>#,##0</c:formatCode>
                <c:ptCount val="5"/>
                <c:pt idx="0">
                  <c:v>64983</c:v>
                </c:pt>
                <c:pt idx="1">
                  <c:v>68981</c:v>
                </c:pt>
                <c:pt idx="2">
                  <c:v>77398</c:v>
                </c:pt>
                <c:pt idx="3">
                  <c:v>88091</c:v>
                </c:pt>
                <c:pt idx="4">
                  <c:v>93733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7-404C-A4BB-4BC5E00D2F57}"/>
            </c:ext>
          </c:extLst>
        </c:ser>
        <c:ser>
          <c:idx val="0"/>
          <c:order val="0"/>
          <c:tx>
            <c:strRef>
              <c:f>'Column Chart Ex2'!$B$4</c:f>
              <c:strCache>
                <c:ptCount val="1"/>
                <c:pt idx="0">
                  <c:v>Widgets</c:v>
                </c:pt>
              </c:strCache>
            </c:strRef>
          </c:tx>
          <c:invertIfNegative val="0"/>
          <c:cat>
            <c:strRef>
              <c:f>'Column Chart Ex2'!$A$5:$A$9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'Column Chart Ex2'!$B$5:$B$9</c:f>
              <c:numCache>
                <c:formatCode>#,##0</c:formatCode>
                <c:ptCount val="5"/>
                <c:pt idx="0">
                  <c:v>60983</c:v>
                </c:pt>
                <c:pt idx="1">
                  <c:v>56732</c:v>
                </c:pt>
                <c:pt idx="2">
                  <c:v>49831</c:v>
                </c:pt>
                <c:pt idx="3">
                  <c:v>43323</c:v>
                </c:pt>
                <c:pt idx="4">
                  <c:v>39879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7-404C-A4BB-4BC5E00D2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948188944"/>
        <c:axId val="-948192208"/>
        <c:axId val="-967392304"/>
      </c:bar3DChart>
      <c:catAx>
        <c:axId val="-94818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92208"/>
        <c:crosses val="autoZero"/>
        <c:auto val="1"/>
        <c:lblAlgn val="ctr"/>
        <c:lblOffset val="100"/>
        <c:noMultiLvlLbl val="0"/>
      </c:catAx>
      <c:valAx>
        <c:axId val="-94819220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88944"/>
        <c:crosses val="autoZero"/>
        <c:crossBetween val="between"/>
      </c:valAx>
      <c:serAx>
        <c:axId val="-9673923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92208"/>
        <c:crosses val="autoZero"/>
      </c:serAx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 paperSize="0" orientation="landscape" horizontalDpi="0" verticalDpi="0" copies="0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Strongly Agree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'Bar Chart'!$B$3</c:f>
              <c:strCache>
                <c:ptCount val="1"/>
                <c:pt idx="0">
                  <c:v>Strongly
Agree</c:v>
                </c:pt>
              </c:strCache>
            </c:strRef>
          </c:tx>
          <c:invertIfNegative val="0"/>
          <c:cat>
            <c:strRef>
              <c:f>'Bar Chart'!$A$4:$A$13</c:f>
              <c:strCache>
                <c:ptCount val="10"/>
                <c:pt idx="0">
                  <c:v>Store locations are convenient</c:v>
                </c:pt>
                <c:pt idx="1">
                  <c:v>Store hours are convenient</c:v>
                </c:pt>
                <c:pt idx="2">
                  <c:v>Stores are well-maintained</c:v>
                </c:pt>
                <c:pt idx="3">
                  <c:v>I like your web site</c:v>
                </c:pt>
                <c:pt idx="4">
                  <c:v>Employees are friendly</c:v>
                </c:pt>
                <c:pt idx="5">
                  <c:v>You have a good selection of products</c:v>
                </c:pt>
                <c:pt idx="6">
                  <c:v>I like your TV ads</c:v>
                </c:pt>
                <c:pt idx="7">
                  <c:v>You sell quality products</c:v>
                </c:pt>
                <c:pt idx="8">
                  <c:v>Overall, I am satisfied</c:v>
                </c:pt>
                <c:pt idx="9">
                  <c:v>I would recommend your company</c:v>
                </c:pt>
              </c:strCache>
            </c:strRef>
          </c:cat>
          <c:val>
            <c:numRef>
              <c:f>'Bar Chart'!$B$4:$B$13</c:f>
              <c:numCache>
                <c:formatCode>0%</c:formatCode>
                <c:ptCount val="10"/>
                <c:pt idx="0">
                  <c:v>0.12</c:v>
                </c:pt>
                <c:pt idx="1">
                  <c:v>0.15</c:v>
                </c:pt>
                <c:pt idx="2">
                  <c:v>0.09</c:v>
                </c:pt>
                <c:pt idx="3">
                  <c:v>0.18</c:v>
                </c:pt>
                <c:pt idx="4">
                  <c:v>0.02</c:v>
                </c:pt>
                <c:pt idx="5">
                  <c:v>0.16</c:v>
                </c:pt>
                <c:pt idx="6">
                  <c:v>0.05</c:v>
                </c:pt>
                <c:pt idx="7">
                  <c:v>0.24</c:v>
                </c:pt>
                <c:pt idx="8">
                  <c:v>0.06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B-4698-AEC3-84C05E876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shape val="box"/>
        <c:axId val="-948190032"/>
        <c:axId val="-948197648"/>
        <c:axId val="0"/>
      </c:bar3DChart>
      <c:catAx>
        <c:axId val="-948190032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97648"/>
        <c:crosses val="autoZero"/>
        <c:auto val="1"/>
        <c:lblAlgn val="ctr"/>
        <c:lblOffset val="100"/>
        <c:noMultiLvlLbl val="0"/>
      </c:catAx>
      <c:valAx>
        <c:axId val="-948197648"/>
        <c:scaling>
          <c:orientation val="minMax"/>
          <c:max val="0.25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8190032"/>
        <c:crosses val="max"/>
        <c:crossBetween val="between"/>
      </c:valAx>
    </c:plotArea>
    <c:plotVisOnly val="1"/>
    <c:dispBlanksAs val="gap"/>
    <c:showDLblsOverMax val="0"/>
  </c:chart>
  <c:printSettings>
    <c:headerFooter/>
    <c:pageMargins b="0.75000000000000211" l="0.70000000000000062" r="0.70000000000000062" t="0.75000000000000211" header="0.30000000000000032" footer="0.30000000000000032"/>
    <c:pageSetup paperSize="0" orientation="landscape" horizontalDpi="0" verticalDpi="0" copies="0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cat>
            <c:strRef>
              <c:f>'Bar Chart'!$A$4:$A$13</c:f>
              <c:strCache>
                <c:ptCount val="10"/>
                <c:pt idx="0">
                  <c:v>Store locations are convenient</c:v>
                </c:pt>
                <c:pt idx="1">
                  <c:v>Store hours are convenient</c:v>
                </c:pt>
                <c:pt idx="2">
                  <c:v>Stores are well-maintained</c:v>
                </c:pt>
                <c:pt idx="3">
                  <c:v>I like your web site</c:v>
                </c:pt>
                <c:pt idx="4">
                  <c:v>Employees are friendly</c:v>
                </c:pt>
                <c:pt idx="5">
                  <c:v>You have a good selection of products</c:v>
                </c:pt>
                <c:pt idx="6">
                  <c:v>I like your TV ads</c:v>
                </c:pt>
                <c:pt idx="7">
                  <c:v>You sell quality products</c:v>
                </c:pt>
                <c:pt idx="8">
                  <c:v>Overall, I am satisfied</c:v>
                </c:pt>
                <c:pt idx="9">
                  <c:v>I would recommend your company</c:v>
                </c:pt>
              </c:strCache>
            </c:strRef>
          </c:cat>
          <c:val>
            <c:numRef>
              <c:f>'Bar Chart'!$B$4:$B$13</c:f>
              <c:numCache>
                <c:formatCode>0%</c:formatCode>
                <c:ptCount val="10"/>
                <c:pt idx="0">
                  <c:v>0.12</c:v>
                </c:pt>
                <c:pt idx="1">
                  <c:v>0.15</c:v>
                </c:pt>
                <c:pt idx="2">
                  <c:v>0.09</c:v>
                </c:pt>
                <c:pt idx="3">
                  <c:v>0.18</c:v>
                </c:pt>
                <c:pt idx="4">
                  <c:v>0.02</c:v>
                </c:pt>
                <c:pt idx="5">
                  <c:v>0.16</c:v>
                </c:pt>
                <c:pt idx="6">
                  <c:v>0.05</c:v>
                </c:pt>
                <c:pt idx="7">
                  <c:v>0.24</c:v>
                </c:pt>
                <c:pt idx="8">
                  <c:v>0.06</c:v>
                </c:pt>
                <c:pt idx="9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00-403A-BCFC-6E00E8DF2A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948188400"/>
        <c:axId val="-948185680"/>
      </c:barChart>
      <c:catAx>
        <c:axId val="-9481884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crossAx val="-948185680"/>
        <c:crosses val="autoZero"/>
        <c:auto val="1"/>
        <c:lblAlgn val="ctr"/>
        <c:lblOffset val="100"/>
        <c:noMultiLvlLbl val="0"/>
      </c:catAx>
      <c:valAx>
        <c:axId val="-948185680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-948188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/>
              <a:t>Population Projections by State</a:t>
            </a:r>
          </a:p>
        </c:rich>
      </c:tx>
      <c:overlay val="0"/>
    </c:title>
    <c:autoTitleDeleted val="0"/>
    <c:view3D>
      <c:rotX val="15"/>
      <c:rotY val="20"/>
      <c:rAngAx val="0"/>
    </c:view3D>
    <c:floor>
      <c:thickness val="0"/>
    </c:floor>
    <c:sideWall>
      <c:thickness val="0"/>
    </c:sideWall>
    <c:backWall>
      <c:thickness val="0"/>
    </c:backWall>
    <c:plotArea>
      <c:layout/>
      <c:line3DChart>
        <c:grouping val="standard"/>
        <c:varyColors val="0"/>
        <c:ser>
          <c:idx val="0"/>
          <c:order val="0"/>
          <c:tx>
            <c:strRef>
              <c:f>'3D Line chart'!$B$5</c:f>
              <c:strCache>
                <c:ptCount val="1"/>
                <c:pt idx="0">
                  <c:v>California</c:v>
                </c:pt>
              </c:strCache>
            </c:strRef>
          </c:tx>
          <c:cat>
            <c:numRef>
              <c:f>'3D Line chart'!$A$6:$A$10</c:f>
              <c:numCache>
                <c:formatCode>General</c:formatCode>
                <c:ptCount val="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2015</c:v>
                </c:pt>
                <c:pt idx="4">
                  <c:v>2025</c:v>
                </c:pt>
              </c:numCache>
            </c:numRef>
          </c:cat>
          <c:val>
            <c:numRef>
              <c:f>'3D Line chart'!$B$6:$B$10</c:f>
              <c:numCache>
                <c:formatCode>#,##0</c:formatCode>
                <c:ptCount val="5"/>
                <c:pt idx="0">
                  <c:v>31589</c:v>
                </c:pt>
                <c:pt idx="1">
                  <c:v>32521</c:v>
                </c:pt>
                <c:pt idx="2">
                  <c:v>34441</c:v>
                </c:pt>
                <c:pt idx="3">
                  <c:v>41373</c:v>
                </c:pt>
                <c:pt idx="4">
                  <c:v>49285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66-4CB2-9507-8EFF5427CFE9}"/>
            </c:ext>
          </c:extLst>
        </c:ser>
        <c:ser>
          <c:idx val="1"/>
          <c:order val="1"/>
          <c:tx>
            <c:strRef>
              <c:f>'3D Line chart'!$C$5</c:f>
              <c:strCache>
                <c:ptCount val="1"/>
                <c:pt idx="0">
                  <c:v>Oregon</c:v>
                </c:pt>
              </c:strCache>
            </c:strRef>
          </c:tx>
          <c:cat>
            <c:numRef>
              <c:f>'3D Line chart'!$A$6:$A$10</c:f>
              <c:numCache>
                <c:formatCode>General</c:formatCode>
                <c:ptCount val="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2015</c:v>
                </c:pt>
                <c:pt idx="4">
                  <c:v>2025</c:v>
                </c:pt>
              </c:numCache>
            </c:numRef>
          </c:cat>
          <c:val>
            <c:numRef>
              <c:f>'3D Line chart'!$C$6:$C$10</c:f>
              <c:numCache>
                <c:formatCode>#,##0</c:formatCode>
                <c:ptCount val="5"/>
                <c:pt idx="0">
                  <c:v>3141</c:v>
                </c:pt>
                <c:pt idx="1">
                  <c:v>3397</c:v>
                </c:pt>
                <c:pt idx="2">
                  <c:v>3613</c:v>
                </c:pt>
                <c:pt idx="3">
                  <c:v>3992</c:v>
                </c:pt>
                <c:pt idx="4">
                  <c:v>4349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66-4CB2-9507-8EFF5427CFE9}"/>
            </c:ext>
          </c:extLst>
        </c:ser>
        <c:ser>
          <c:idx val="2"/>
          <c:order val="2"/>
          <c:tx>
            <c:strRef>
              <c:f>'3D Line chart'!$D$5</c:f>
              <c:strCache>
                <c:ptCount val="1"/>
                <c:pt idx="0">
                  <c:v>Washington</c:v>
                </c:pt>
              </c:strCache>
            </c:strRef>
          </c:tx>
          <c:cat>
            <c:numRef>
              <c:f>'3D Line chart'!$A$6:$A$10</c:f>
              <c:numCache>
                <c:formatCode>General</c:formatCode>
                <c:ptCount val="5"/>
                <c:pt idx="0">
                  <c:v>1995</c:v>
                </c:pt>
                <c:pt idx="1">
                  <c:v>2000</c:v>
                </c:pt>
                <c:pt idx="2">
                  <c:v>2005</c:v>
                </c:pt>
                <c:pt idx="3">
                  <c:v>2015</c:v>
                </c:pt>
                <c:pt idx="4">
                  <c:v>2025</c:v>
                </c:pt>
              </c:numCache>
            </c:numRef>
          </c:cat>
          <c:val>
            <c:numRef>
              <c:f>'3D Line chart'!$D$6:$D$10</c:f>
              <c:numCache>
                <c:formatCode>#,##0</c:formatCode>
                <c:ptCount val="5"/>
                <c:pt idx="0">
                  <c:v>5431</c:v>
                </c:pt>
                <c:pt idx="1">
                  <c:v>5858</c:v>
                </c:pt>
                <c:pt idx="2">
                  <c:v>6258</c:v>
                </c:pt>
                <c:pt idx="3">
                  <c:v>7058</c:v>
                </c:pt>
                <c:pt idx="4">
                  <c:v>7808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66-4CB2-9507-8EFF5427C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Depth val="70"/>
        <c:axId val="-946848064"/>
        <c:axId val="-946842080"/>
        <c:axId val="-967396048"/>
      </c:line3DChart>
      <c:catAx>
        <c:axId val="-946848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6842080"/>
        <c:crosses val="autoZero"/>
        <c:auto val="1"/>
        <c:lblAlgn val="ctr"/>
        <c:lblOffset val="100"/>
        <c:noMultiLvlLbl val="0"/>
      </c:catAx>
      <c:valAx>
        <c:axId val="-946842080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6848064"/>
        <c:crosses val="autoZero"/>
        <c:crossBetween val="between"/>
      </c:valAx>
      <c:serAx>
        <c:axId val="-96739604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-946842080"/>
        <c:crosses val="autoZero"/>
      </c:serAx>
    </c:plotArea>
    <c:plotVisOnly val="1"/>
    <c:dispBlanksAs val="gap"/>
    <c:showDLblsOverMax val="0"/>
  </c:chart>
  <c:printSettings>
    <c:headerFooter/>
    <c:pageMargins b="0.75000000000000144" l="0.70000000000000062" r="0.70000000000000062" t="0.75000000000000144" header="0.30000000000000032" footer="0.30000000000000032"/>
    <c:pageSetup horizontalDpi="1" verticalDpi="1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'Thermometer Chart'!$B$23</c:f>
              <c:numCache>
                <c:formatCode>0%</c:formatCode>
                <c:ptCount val="1"/>
                <c:pt idx="0">
                  <c:v>0.753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3-4761-B96C-84DFC9C54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-944237824"/>
        <c:axId val="-944232384"/>
      </c:barChart>
      <c:catAx>
        <c:axId val="-944237824"/>
        <c:scaling>
          <c:orientation val="minMax"/>
        </c:scaling>
        <c:delete val="1"/>
        <c:axPos val="b"/>
        <c:majorTickMark val="out"/>
        <c:minorTickMark val="none"/>
        <c:tickLblPos val="nextTo"/>
        <c:crossAx val="-944232384"/>
        <c:crosses val="autoZero"/>
        <c:auto val="1"/>
        <c:lblAlgn val="ctr"/>
        <c:lblOffset val="100"/>
        <c:noMultiLvlLbl val="0"/>
      </c:catAx>
      <c:valAx>
        <c:axId val="-944232384"/>
        <c:scaling>
          <c:orientation val="minMax"/>
          <c:max val="1"/>
          <c:min val="0"/>
        </c:scaling>
        <c:delete val="0"/>
        <c:axPos val="l"/>
        <c:numFmt formatCode="0%" sourceLinked="1"/>
        <c:majorTickMark val="out"/>
        <c:minorTickMark val="none"/>
        <c:tickLblPos val="nextTo"/>
        <c:crossAx val="-944237824"/>
        <c:crosses val="autoZero"/>
        <c:crossBetween val="between"/>
      </c:valAx>
      <c:spPr>
        <a:solidFill>
          <a:schemeClr val="bg2">
            <a:alpha val="65000"/>
          </a:schemeClr>
        </a:solidFill>
        <a:ln w="9525" cap="rnd" cmpd="sng">
          <a:solidFill>
            <a:schemeClr val="tx1"/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Sheet1!$A$19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strRef>
                  <c:f>Sheet1!$E$18</c:f>
                  <c:strCache>
                    <c:ptCount val="1"/>
                    <c:pt idx="0">
                      <c:v>82%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{545FFE2D-E495-40BD-9E9A-F661AF2356F9}</c15:txfldGUID>
                      <c15:f>Sheet1!$E$18</c15:f>
                      <c15:dlblFieldTableCache>
                        <c:ptCount val="1"/>
                        <c:pt idx="0">
                          <c:v>82%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2-C2CD-4FE9-A4F8-1838F46822E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Sheet1!$B$19</c:f>
              <c:numCache>
                <c:formatCode>General</c:formatCode>
                <c:ptCount val="1"/>
                <c:pt idx="0">
                  <c:v>820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D-4FE9-A4F8-1838F46822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1257695"/>
        <c:axId val="851251935"/>
      </c:barChart>
      <c:barChart>
        <c:barDir val="col"/>
        <c:grouping val="clustered"/>
        <c:varyColors val="0"/>
        <c:ser>
          <c:idx val="0"/>
          <c:order val="0"/>
          <c:tx>
            <c:strRef>
              <c:f>Sheet1!$A$18</c:f>
              <c:strCache>
                <c:ptCount val="1"/>
                <c:pt idx="0">
                  <c:v>Target</c:v>
                </c:pt>
              </c:strCache>
            </c:strRef>
          </c:tx>
          <c:spPr>
            <a:noFill/>
            <a:ln w="25400">
              <a:solidFill>
                <a:srgbClr val="002060"/>
              </a:solidFill>
            </a:ln>
            <a:effectLst/>
          </c:spPr>
          <c:invertIfNegative val="0"/>
          <c:dLbls>
            <c:delete val="1"/>
          </c:dLbls>
          <c:val>
            <c:numRef>
              <c:f>Sheet1!$B$18</c:f>
              <c:numCache>
                <c:formatCode>General</c:formatCode>
                <c:ptCount val="1"/>
                <c:pt idx="0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D-4FE9-A4F8-1838F46822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51187615"/>
        <c:axId val="851195775"/>
      </c:barChart>
      <c:catAx>
        <c:axId val="8512576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51251935"/>
        <c:crosses val="autoZero"/>
        <c:auto val="1"/>
        <c:lblAlgn val="ctr"/>
        <c:lblOffset val="100"/>
        <c:noMultiLvlLbl val="0"/>
      </c:catAx>
      <c:valAx>
        <c:axId val="851251935"/>
        <c:scaling>
          <c:orientation val="minMax"/>
          <c:max val="100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0">
            <a:solidFill>
              <a:srgbClr val="0070C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1257695"/>
        <c:crosses val="autoZero"/>
        <c:crossBetween val="between"/>
      </c:valAx>
      <c:valAx>
        <c:axId val="851195775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851187615"/>
        <c:crosses val="max"/>
        <c:crossBetween val="between"/>
      </c:valAx>
      <c:catAx>
        <c:axId val="851187615"/>
        <c:scaling>
          <c:orientation val="minMax"/>
        </c:scaling>
        <c:delete val="1"/>
        <c:axPos val="b"/>
        <c:majorTickMark val="out"/>
        <c:minorTickMark val="none"/>
        <c:tickLblPos val="nextTo"/>
        <c:crossAx val="85119577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2540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FCDC-48BB-AC33-23FB92837BAB}"/>
              </c:ext>
            </c:extLst>
          </c:dPt>
          <c:dPt>
            <c:idx val="1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FCDC-48BB-AC33-23FB92837BAB}"/>
              </c:ext>
            </c:extLst>
          </c:dPt>
          <c:dPt>
            <c:idx val="2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5-FCDC-48BB-AC33-23FB92837BAB}"/>
              </c:ext>
            </c:extLst>
          </c:dPt>
          <c:dPt>
            <c:idx val="3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7-FCDC-48BB-AC33-23FB92837BAB}"/>
              </c:ext>
            </c:extLst>
          </c:dPt>
          <c:cat>
            <c:strRef>
              <c:f>Speedometer!$A$5:$A$8</c:f>
              <c:strCache>
                <c:ptCount val="4"/>
                <c:pt idx="0">
                  <c:v>Initial</c:v>
                </c:pt>
                <c:pt idx="1">
                  <c:v>Middle</c:v>
                </c:pt>
                <c:pt idx="2">
                  <c:v>End</c:v>
                </c:pt>
                <c:pt idx="3">
                  <c:v>Max</c:v>
                </c:pt>
              </c:strCache>
            </c:strRef>
          </c:cat>
          <c:val>
            <c:numRef>
              <c:f>Speedometer!$B$5:$B$8</c:f>
              <c:numCache>
                <c:formatCode>General</c:formatCode>
                <c:ptCount val="4"/>
                <c:pt idx="0">
                  <c:v>20</c:v>
                </c:pt>
                <c:pt idx="1">
                  <c:v>45</c:v>
                </c:pt>
                <c:pt idx="2">
                  <c:v>35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CDC-48BB-AC33-23FB92837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1"/>
        <c:holeSize val="50"/>
      </c:doughnutChart>
      <c:pieChart>
        <c:varyColors val="1"/>
        <c:ser>
          <c:idx val="1"/>
          <c:order val="1"/>
          <c:tx>
            <c:v>Pie</c:v>
          </c:tx>
          <c:dPt>
            <c:idx val="0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A-FCDC-48BB-AC33-23FB92837BAB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FCDC-48BB-AC33-23FB92837BAB}"/>
              </c:ext>
            </c:extLst>
          </c:dPt>
          <c:dPt>
            <c:idx val="2"/>
            <c:bubble3D val="0"/>
            <c:spPr>
              <a:noFill/>
            </c:spPr>
            <c:extLst>
              <c:ext xmlns:c16="http://schemas.microsoft.com/office/drawing/2014/chart" uri="{C3380CC4-5D6E-409C-BE32-E72D297353CC}">
                <c16:uniqueId val="{0000000E-FCDC-48BB-AC33-23FB92837BAB}"/>
              </c:ext>
            </c:extLst>
          </c:dPt>
          <c:dLbls>
            <c:dLbl>
              <c:idx val="1"/>
              <c:tx>
                <c:strRef>
                  <c:f>Speedometer!$E$4</c:f>
                  <c:strCache>
                    <c:ptCount val="1"/>
                    <c:pt idx="0">
                      <c:v>36</c:v>
                    </c:pt>
                  </c:strCache>
                </c:strRef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{DA5FF2F5-5D16-4654-923E-C07C9E06B7E5}</c15:txfldGUID>
                      <c15:f>Speedometer!$E$4</c15:f>
                      <c15:dlblFieldTableCache>
                        <c:ptCount val="1"/>
                        <c:pt idx="0">
                          <c:v>36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FCDC-48BB-AC33-23FB92837B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Speedometer!$E$4:$E$6</c:f>
              <c:numCache>
                <c:formatCode>General</c:formatCode>
                <c:ptCount val="3"/>
                <c:pt idx="0">
                  <c:v>36</c:v>
                </c:pt>
                <c:pt idx="1">
                  <c:v>1</c:v>
                </c:pt>
                <c:pt idx="2">
                  <c:v>163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FCDC-48BB-AC33-23FB92837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18-4389-B960-DEC608E00111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06D-4047-95E0-A8664813D8E9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06D-4047-95E0-A8664813D8E9}"/>
              </c:ext>
            </c:extLst>
          </c:dPt>
          <c:dPt>
            <c:idx val="3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06D-4047-95E0-A8664813D8E9}"/>
              </c:ext>
            </c:extLst>
          </c:dPt>
          <c:dPt>
            <c:idx val="4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F06D-4047-95E0-A8664813D8E9}"/>
              </c:ext>
            </c:extLst>
          </c:dPt>
          <c:cat>
            <c:strRef>
              <c:f>Sheet2!$A$2:$A$6</c:f>
              <c:strCache>
                <c:ptCount val="5"/>
                <c:pt idx="0">
                  <c:v>Start</c:v>
                </c:pt>
                <c:pt idx="1">
                  <c:v>Initial</c:v>
                </c:pt>
                <c:pt idx="2">
                  <c:v>Middle</c:v>
                </c:pt>
                <c:pt idx="3">
                  <c:v>End</c:v>
                </c:pt>
                <c:pt idx="4">
                  <c:v>Max</c:v>
                </c:pt>
              </c:strCache>
            </c:strRef>
          </c:cat>
          <c:val>
            <c:numRef>
              <c:f>Sheet2!$B$2:$B$6</c:f>
              <c:numCache>
                <c:formatCode>General</c:formatCode>
                <c:ptCount val="5"/>
                <c:pt idx="0">
                  <c:v>0</c:v>
                </c:pt>
                <c:pt idx="1">
                  <c:v>20</c:v>
                </c:pt>
                <c:pt idx="2">
                  <c:v>45</c:v>
                </c:pt>
                <c:pt idx="3">
                  <c:v>35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D-4047-95E0-A8664813D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1"/>
      </c:doughnutChart>
      <c:pieChart>
        <c:varyColors val="1"/>
        <c:ser>
          <c:idx val="1"/>
          <c:order val="1"/>
          <c:tx>
            <c:v>PIE</c:v>
          </c:tx>
          <c:spPr>
            <a:ln w="3175">
              <a:solidFill>
                <a:schemeClr val="lt1">
                  <a:alpha val="57000"/>
                </a:schemeClr>
              </a:solidFill>
            </a:ln>
          </c:spPr>
          <c:dPt>
            <c:idx val="0"/>
            <c:bubble3D val="0"/>
            <c:spPr>
              <a:noFill/>
              <a:ln w="3175">
                <a:solidFill>
                  <a:schemeClr val="lt1">
                    <a:alpha val="57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06D-4047-95E0-A8664813D8E9}"/>
              </c:ext>
            </c:extLst>
          </c:dPt>
          <c:dPt>
            <c:idx val="1"/>
            <c:bubble3D val="0"/>
            <c:spPr>
              <a:solidFill>
                <a:schemeClr val="tx1"/>
              </a:solidFill>
              <a:ln w="3175">
                <a:solidFill>
                  <a:schemeClr val="lt1">
                    <a:alpha val="57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06D-4047-95E0-A8664813D8E9}"/>
              </c:ext>
            </c:extLst>
          </c:dPt>
          <c:dPt>
            <c:idx val="2"/>
            <c:bubble3D val="0"/>
            <c:spPr>
              <a:noFill/>
              <a:ln w="3175">
                <a:solidFill>
                  <a:schemeClr val="lt1">
                    <a:alpha val="57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06D-4047-95E0-A8664813D8E9}"/>
              </c:ext>
            </c:extLst>
          </c:dPt>
          <c:dLbls>
            <c:dLbl>
              <c:idx val="1"/>
              <c:tx>
                <c:strRef>
                  <c:f>Sheet2!$F$9</c:f>
                  <c:strCache>
                    <c:ptCount val="1"/>
                    <c:pt idx="0">
                      <c:v>17%</c:v>
                    </c:pt>
                  </c:strCache>
                </c:strRef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{718B5788-DA5B-4946-9310-5F54D8AF4B22}</c15:txfldGUID>
                      <c15:f>Sheet2!$F$9</c15:f>
                      <c15:dlblFieldTableCache>
                        <c:ptCount val="1"/>
                        <c:pt idx="0">
                          <c:v>17%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F06D-4047-95E0-A8664813D8E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06D-4047-95E0-A8664813D8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Sheet2!$E$2:$E$4</c:f>
              <c:numCache>
                <c:formatCode>General</c:formatCode>
                <c:ptCount val="3"/>
                <c:pt idx="0">
                  <c:v>33</c:v>
                </c:pt>
                <c:pt idx="1">
                  <c:v>1</c:v>
                </c:pt>
                <c:pt idx="2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6D-4047-95E0-A8664813D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Combobox!$I$7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Combobox!$H$8:$H$19</c:f>
              <c:strCache>
                <c:ptCount val="12"/>
                <c:pt idx="0">
                  <c:v>Jan'15</c:v>
                </c:pt>
                <c:pt idx="1">
                  <c:v>Feb'15</c:v>
                </c:pt>
                <c:pt idx="2">
                  <c:v>Mar'15</c:v>
                </c:pt>
                <c:pt idx="3">
                  <c:v>Apr'15</c:v>
                </c:pt>
                <c:pt idx="4">
                  <c:v>May'15</c:v>
                </c:pt>
                <c:pt idx="5">
                  <c:v>Jun'15</c:v>
                </c:pt>
                <c:pt idx="6">
                  <c:v>Jul'15</c:v>
                </c:pt>
                <c:pt idx="7">
                  <c:v>Aug'15</c:v>
                </c:pt>
                <c:pt idx="8">
                  <c:v>Sep'15</c:v>
                </c:pt>
                <c:pt idx="9">
                  <c:v>Oct'15</c:v>
                </c:pt>
                <c:pt idx="10">
                  <c:v>Nov'15</c:v>
                </c:pt>
                <c:pt idx="11">
                  <c:v>Dec'15</c:v>
                </c:pt>
              </c:strCache>
            </c:strRef>
          </c:cat>
          <c:val>
            <c:numRef>
              <c:f>Combobox!$I$8:$I$19</c:f>
              <c:numCache>
                <c:formatCode>_-* #,##0_-;\-* #,##0_-;_-* "-"??_-;_-@_-</c:formatCode>
                <c:ptCount val="12"/>
                <c:pt idx="0">
                  <c:v>1153407</c:v>
                </c:pt>
                <c:pt idx="1">
                  <c:v>1293888</c:v>
                </c:pt>
                <c:pt idx="2">
                  <c:v>1352937</c:v>
                </c:pt>
                <c:pt idx="3">
                  <c:v>1083369</c:v>
                </c:pt>
                <c:pt idx="4">
                  <c:v>1212378</c:v>
                </c:pt>
                <c:pt idx="5">
                  <c:v>1047353</c:v>
                </c:pt>
                <c:pt idx="6">
                  <c:v>1346193</c:v>
                </c:pt>
                <c:pt idx="7">
                  <c:v>1097831</c:v>
                </c:pt>
                <c:pt idx="8">
                  <c:v>1218507</c:v>
                </c:pt>
                <c:pt idx="9">
                  <c:v>1292704</c:v>
                </c:pt>
                <c:pt idx="10">
                  <c:v>1220813</c:v>
                </c:pt>
                <c:pt idx="11">
                  <c:v>1431153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78-450D-8596-AEBDF34AF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965256"/>
        <c:axId val="384965584"/>
      </c:barChart>
      <c:catAx>
        <c:axId val="384965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65584"/>
        <c:crosses val="autoZero"/>
        <c:auto val="1"/>
        <c:lblAlgn val="ctr"/>
        <c:lblOffset val="100"/>
        <c:noMultiLvlLbl val="0"/>
      </c:catAx>
      <c:valAx>
        <c:axId val="38496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965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'Combobox Practice)'!$I$10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'Combobox Practice)'!$H$11:$H$22</c:f>
              <c:strCache>
                <c:ptCount val="12"/>
                <c:pt idx="0">
                  <c:v>Jan'15</c:v>
                </c:pt>
                <c:pt idx="1">
                  <c:v>Feb'15</c:v>
                </c:pt>
                <c:pt idx="2">
                  <c:v>Mar'15</c:v>
                </c:pt>
                <c:pt idx="3">
                  <c:v>Apr'15</c:v>
                </c:pt>
                <c:pt idx="4">
                  <c:v>May'15</c:v>
                </c:pt>
                <c:pt idx="5">
                  <c:v>Jun'15</c:v>
                </c:pt>
                <c:pt idx="6">
                  <c:v>Jul'15</c:v>
                </c:pt>
                <c:pt idx="7">
                  <c:v>Aug'15</c:v>
                </c:pt>
                <c:pt idx="8">
                  <c:v>Sep'15</c:v>
                </c:pt>
                <c:pt idx="9">
                  <c:v>Oct'15</c:v>
                </c:pt>
                <c:pt idx="10">
                  <c:v>Nov'15</c:v>
                </c:pt>
                <c:pt idx="11">
                  <c:v>Dec'15</c:v>
                </c:pt>
              </c:strCache>
            </c:strRef>
          </c:cat>
          <c:val>
            <c:numRef>
              <c:f>'Combobox Practice)'!$I$11:$I$22</c:f>
              <c:numCache>
                <c:formatCode>General</c:formatCode>
                <c:ptCount val="12"/>
                <c:pt idx="0">
                  <c:v>373541</c:v>
                </c:pt>
                <c:pt idx="1">
                  <c:v>501682</c:v>
                </c:pt>
                <c:pt idx="2">
                  <c:v>343974</c:v>
                </c:pt>
                <c:pt idx="3">
                  <c:v>572674</c:v>
                </c:pt>
                <c:pt idx="4">
                  <c:v>572366</c:v>
                </c:pt>
                <c:pt idx="5">
                  <c:v>378457</c:v>
                </c:pt>
                <c:pt idx="6">
                  <c:v>310541</c:v>
                </c:pt>
                <c:pt idx="7">
                  <c:v>312313</c:v>
                </c:pt>
                <c:pt idx="8">
                  <c:v>333669</c:v>
                </c:pt>
                <c:pt idx="9">
                  <c:v>590670</c:v>
                </c:pt>
                <c:pt idx="10">
                  <c:v>540662</c:v>
                </c:pt>
                <c:pt idx="11">
                  <c:v>300463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1E-4040-A06F-2CB89BF52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9084175"/>
        <c:axId val="869084655"/>
      </c:barChart>
      <c:catAx>
        <c:axId val="86908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84655"/>
        <c:crosses val="autoZero"/>
        <c:auto val="1"/>
        <c:lblAlgn val="ctr"/>
        <c:lblOffset val="100"/>
        <c:noMultiLvlLbl val="0"/>
      </c:catAx>
      <c:valAx>
        <c:axId val="8690846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084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16" fmlaLink="$F$7" fmlaRange="$Q$1:$Q$3" sel="2" val="0"/>
</file>

<file path=xl/ctrlProps/ctrlProp2.xml><?xml version="1.0" encoding="utf-8"?>
<formControlPr xmlns="http://schemas.microsoft.com/office/spreadsheetml/2009/9/main" objectType="Drop" dropStyle="combo" dx="26" fmlaLink="$L$7" fmlaRange="$Q$1:$Q$3" noThreeD="1" sel="3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7" Type="http://schemas.openxmlformats.org/officeDocument/2006/relationships/image" Target="../media/image1.png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6" Type="http://schemas.openxmlformats.org/officeDocument/2006/relationships/hyperlink" Target="#Home!A1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hyperlink" Target="#Home!A1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Home!A1"/><Relationship Id="rId1" Type="http://schemas.openxmlformats.org/officeDocument/2006/relationships/chart" Target="../charts/chart21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Home!A1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#Home!A1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1</xdr:row>
      <xdr:rowOff>152400</xdr:rowOff>
    </xdr:from>
    <xdr:to>
      <xdr:col>16</xdr:col>
      <xdr:colOff>68580</xdr:colOff>
      <xdr:row>22</xdr:row>
      <xdr:rowOff>68580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9CA3C5-9185-FE8A-C698-68A1675840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419100</xdr:colOff>
      <xdr:row>1</xdr:row>
      <xdr:rowOff>95250</xdr:rowOff>
    </xdr:from>
    <xdr:to>
      <xdr:col>14</xdr:col>
      <xdr:colOff>114300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D3C873-C60A-D4FC-0E3C-D38E23A90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205740</xdr:colOff>
      <xdr:row>184</xdr:row>
      <xdr:rowOff>80010</xdr:rowOff>
    </xdr:from>
    <xdr:to>
      <xdr:col>14</xdr:col>
      <xdr:colOff>403860</xdr:colOff>
      <xdr:row>199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F43448-6F03-C344-E6C8-872AE21C02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167640</xdr:colOff>
      <xdr:row>40</xdr:row>
      <xdr:rowOff>80010</xdr:rowOff>
    </xdr:from>
    <xdr:to>
      <xdr:col>13</xdr:col>
      <xdr:colOff>30480</xdr:colOff>
      <xdr:row>56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CB1B7A0-496D-E64D-3DC7-248311E6E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5</xdr:row>
      <xdr:rowOff>80010</xdr:rowOff>
    </xdr:from>
    <xdr:to>
      <xdr:col>13</xdr:col>
      <xdr:colOff>167640</xdr:colOff>
      <xdr:row>20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ED2670-AB8F-06A6-72DB-8310E40C36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83820</xdr:colOff>
      <xdr:row>6</xdr:row>
      <xdr:rowOff>34290</xdr:rowOff>
    </xdr:from>
    <xdr:to>
      <xdr:col>19</xdr:col>
      <xdr:colOff>76200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6C2C9A-7E80-B6E9-DDF5-BC37490E8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83820</xdr:colOff>
      <xdr:row>31</xdr:row>
      <xdr:rowOff>41910</xdr:rowOff>
    </xdr:from>
    <xdr:to>
      <xdr:col>18</xdr:col>
      <xdr:colOff>342900</xdr:colOff>
      <xdr:row>46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F6381F-BAC1-7A4F-96BA-D7D194668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3</xdr:row>
      <xdr:rowOff>57150</xdr:rowOff>
    </xdr:from>
    <xdr:to>
      <xdr:col>17</xdr:col>
      <xdr:colOff>28575</xdr:colOff>
      <xdr:row>17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/>
      </xdr:nvSpPr>
      <xdr:spPr>
        <a:xfrm>
          <a:off x="447675" y="628650"/>
          <a:ext cx="10401300" cy="2647950"/>
        </a:xfrm>
        <a:prstGeom prst="rect">
          <a:avLst/>
        </a:prstGeom>
        <a:gradFill flip="none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lin ang="5400000" scaled="1"/>
          <a:tileRect/>
        </a:gradFill>
        <a:ln>
          <a:noFill/>
        </a:ln>
        <a:effectLst>
          <a:outerShdw blurRad="149987" dist="250190" dir="8460000" algn="ctr">
            <a:srgbClr val="000000">
              <a:alpha val="28000"/>
            </a:srgbClr>
          </a:outerShdw>
        </a:effectLst>
        <a:scene3d>
          <a:camera prst="perspectiveRelaxedModerately"/>
          <a:lightRig rig="contrasting" dir="t">
            <a:rot lat="0" lon="0" rev="1500000"/>
          </a:lightRig>
        </a:scene3d>
        <a:sp3d prstMaterial="metal">
          <a:bevelT w="88900" h="889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0</xdr:colOff>
      <xdr:row>4</xdr:row>
      <xdr:rowOff>109537</xdr:rowOff>
    </xdr:from>
    <xdr:to>
      <xdr:col>6</xdr:col>
      <xdr:colOff>76200</xdr:colOff>
      <xdr:row>18</xdr:row>
      <xdr:rowOff>185737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647700</xdr:colOff>
      <xdr:row>9</xdr:row>
      <xdr:rowOff>142875</xdr:rowOff>
    </xdr:from>
    <xdr:to>
      <xdr:col>3</xdr:col>
      <xdr:colOff>428625</xdr:colOff>
      <xdr:row>11</xdr:row>
      <xdr:rowOff>152400</xdr:rowOff>
    </xdr:to>
    <xdr:sp macro="" textlink="$B$1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676400" y="1857375"/>
          <a:ext cx="1038225" cy="3905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30F9F46-3F3E-409B-9576-B606FEB08BDE}" type="TxLink">
            <a:rPr lang="en-US" sz="3200" b="0" i="0" u="none" strike="noStrike">
              <a:solidFill>
                <a:schemeClr val="accent1">
                  <a:lumMod val="75000"/>
                </a:schemeClr>
              </a:solidFill>
              <a:latin typeface="Impact" panose="020B0806030902050204" pitchFamily="34" charset="0"/>
              <a:cs typeface="Calibri"/>
            </a:rPr>
            <a:pPr algn="ctr"/>
            <a:t>56%</a:t>
          </a:fld>
          <a:endParaRPr lang="en-IN" sz="3200">
            <a:solidFill>
              <a:schemeClr val="accent1">
                <a:lumMod val="75000"/>
              </a:schemeClr>
            </a:solidFill>
            <a:latin typeface="Impact" panose="020B0806030902050204" pitchFamily="34" charset="0"/>
          </a:endParaRPr>
        </a:p>
      </xdr:txBody>
    </xdr:sp>
    <xdr:clientData/>
  </xdr:twoCellAnchor>
  <xdr:twoCellAnchor>
    <xdr:from>
      <xdr:col>1</xdr:col>
      <xdr:colOff>352425</xdr:colOff>
      <xdr:row>13</xdr:row>
      <xdr:rowOff>47625</xdr:rowOff>
    </xdr:from>
    <xdr:to>
      <xdr:col>4</xdr:col>
      <xdr:colOff>142875</xdr:colOff>
      <xdr:row>15</xdr:row>
      <xdr:rowOff>38100</xdr:rowOff>
    </xdr:to>
    <xdr:sp macro="" textlink="$A$1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19225" y="2524125"/>
          <a:ext cx="161925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42745F3-8EFF-4C22-9FC6-723C9BBB9FB5}" type="TxLink">
            <a:rPr lang="en-US" sz="1800" b="0" i="0" u="none" strike="noStrike">
              <a:solidFill>
                <a:schemeClr val="accent1">
                  <a:lumMod val="75000"/>
                </a:schemeClr>
              </a:solidFill>
              <a:latin typeface="Sylfaen"/>
              <a:cs typeface="Calibri"/>
            </a:rPr>
            <a:pPr/>
            <a:t>Securtiy Level</a:t>
          </a:fld>
          <a:endParaRPr lang="en-IN" sz="18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233362</xdr:colOff>
      <xdr:row>4</xdr:row>
      <xdr:rowOff>119062</xdr:rowOff>
    </xdr:from>
    <xdr:to>
      <xdr:col>12</xdr:col>
      <xdr:colOff>4762</xdr:colOff>
      <xdr:row>19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542925</xdr:colOff>
      <xdr:row>9</xdr:row>
      <xdr:rowOff>19050</xdr:rowOff>
    </xdr:from>
    <xdr:to>
      <xdr:col>9</xdr:col>
      <xdr:colOff>428625</xdr:colOff>
      <xdr:row>11</xdr:row>
      <xdr:rowOff>95250</xdr:rowOff>
    </xdr:to>
    <xdr:sp macro="" textlink="$B$2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5267325" y="1733550"/>
          <a:ext cx="1104900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6A939D3-18E4-4230-A95A-511403308A89}" type="TxLink">
            <a:rPr lang="en-US" sz="3200" b="0" i="0" u="none" strike="noStrike">
              <a:solidFill>
                <a:schemeClr val="accent2">
                  <a:lumMod val="75000"/>
                </a:schemeClr>
              </a:solidFill>
              <a:latin typeface="Impact" panose="020B0806030902050204" pitchFamily="34" charset="0"/>
              <a:cs typeface="Calibri"/>
            </a:rPr>
            <a:pPr algn="ctr"/>
            <a:t>34%</a:t>
          </a:fld>
          <a:endParaRPr lang="en-IN" sz="3200">
            <a:solidFill>
              <a:schemeClr val="accent2">
                <a:lumMod val="75000"/>
              </a:schemeClr>
            </a:solidFill>
            <a:latin typeface="Impact" panose="020B0806030902050204" pitchFamily="34" charset="0"/>
          </a:endParaRPr>
        </a:p>
      </xdr:txBody>
    </xdr:sp>
    <xdr:clientData/>
  </xdr:twoCellAnchor>
  <xdr:twoCellAnchor>
    <xdr:from>
      <xdr:col>10</xdr:col>
      <xdr:colOff>0</xdr:colOff>
      <xdr:row>3</xdr:row>
      <xdr:rowOff>138112</xdr:rowOff>
    </xdr:from>
    <xdr:to>
      <xdr:col>16</xdr:col>
      <xdr:colOff>381000</xdr:colOff>
      <xdr:row>18</xdr:row>
      <xdr:rowOff>23812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523874</xdr:colOff>
      <xdr:row>9</xdr:row>
      <xdr:rowOff>57150</xdr:rowOff>
    </xdr:from>
    <xdr:to>
      <xdr:col>14</xdr:col>
      <xdr:colOff>285749</xdr:colOff>
      <xdr:row>11</xdr:row>
      <xdr:rowOff>57150</xdr:rowOff>
    </xdr:to>
    <xdr:sp macro="" textlink="$B$3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8296274" y="1771650"/>
          <a:ext cx="981075" cy="38100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3A7C6940-43DF-484E-9D0F-678AC219F7AA}" type="TxLink">
            <a:rPr lang="en-US" sz="3200" b="0" i="0" u="none" strike="noStrike">
              <a:solidFill>
                <a:schemeClr val="accent6">
                  <a:lumMod val="75000"/>
                </a:schemeClr>
              </a:solidFill>
              <a:latin typeface="Impact" panose="020B0806030902050204" pitchFamily="34" charset="0"/>
              <a:cs typeface="Calibri"/>
            </a:rPr>
            <a:pPr/>
            <a:t>57%</a:t>
          </a:fld>
          <a:endParaRPr lang="en-IN" sz="3200">
            <a:solidFill>
              <a:schemeClr val="accent6">
                <a:lumMod val="75000"/>
              </a:schemeClr>
            </a:solidFill>
            <a:latin typeface="Impact" panose="020B0806030902050204" pitchFamily="34" charset="0"/>
          </a:endParaRPr>
        </a:p>
      </xdr:txBody>
    </xdr:sp>
    <xdr:clientData/>
  </xdr:twoCellAnchor>
  <xdr:twoCellAnchor>
    <xdr:from>
      <xdr:col>7</xdr:col>
      <xdr:colOff>476250</xdr:colOff>
      <xdr:row>13</xdr:row>
      <xdr:rowOff>9525</xdr:rowOff>
    </xdr:from>
    <xdr:to>
      <xdr:col>9</xdr:col>
      <xdr:colOff>514350</xdr:colOff>
      <xdr:row>14</xdr:row>
      <xdr:rowOff>133350</xdr:rowOff>
    </xdr:to>
    <xdr:sp macro="" textlink="$A$2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5200650" y="2486025"/>
          <a:ext cx="1257300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1F19C5A5-52CA-4760-A19A-1BFA2AA90356}" type="TxLink">
            <a:rPr lang="en-US" sz="1800" b="0" i="0" u="none" strike="noStrike">
              <a:solidFill>
                <a:schemeClr val="accent2"/>
              </a:solidFill>
              <a:latin typeface="Sylfaen"/>
              <a:cs typeface="Calibri"/>
            </a:rPr>
            <a:pPr/>
            <a:t>Quality Score</a:t>
          </a:fld>
          <a:endParaRPr lang="en-IN" sz="1800">
            <a:solidFill>
              <a:schemeClr val="accent2"/>
            </a:solidFill>
          </a:endParaRPr>
        </a:p>
      </xdr:txBody>
    </xdr:sp>
    <xdr:clientData/>
  </xdr:twoCellAnchor>
  <xdr:twoCellAnchor>
    <xdr:from>
      <xdr:col>12</xdr:col>
      <xdr:colOff>542926</xdr:colOff>
      <xdr:row>13</xdr:row>
      <xdr:rowOff>9525</xdr:rowOff>
    </xdr:from>
    <xdr:to>
      <xdr:col>14</xdr:col>
      <xdr:colOff>371476</xdr:colOff>
      <xdr:row>14</xdr:row>
      <xdr:rowOff>161925</xdr:rowOff>
    </xdr:to>
    <xdr:sp macro="" textlink="$A$3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8315326" y="2486025"/>
          <a:ext cx="1047750" cy="3429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8BCDEAC-5884-409D-A817-DFFEAF332FF1}" type="TxLink">
            <a:rPr lang="en-US" sz="1600" b="0" i="0" u="none" strike="noStrike">
              <a:solidFill>
                <a:sysClr val="windowText" lastClr="000000"/>
              </a:solidFill>
              <a:latin typeface="Sylfaen"/>
              <a:cs typeface="Calibri"/>
            </a:rPr>
            <a:pPr algn="ctr"/>
            <a:t>Sales Conversion</a:t>
          </a:fld>
          <a:endParaRPr lang="en-IN" sz="16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0.40208</cdr:x>
      <cdr:y>0.34549</cdr:y>
    </cdr:from>
    <cdr:to>
      <cdr:x>0.6875</cdr:x>
      <cdr:y>0.50868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00A0DBE-79F3-4349-928E-66438720D1B9}"/>
            </a:ext>
          </a:extLst>
        </cdr:cNvPr>
        <cdr:cNvSpPr txBox="1"/>
      </cdr:nvSpPr>
      <cdr:spPr>
        <a:xfrm xmlns:a="http://schemas.openxmlformats.org/drawingml/2006/main">
          <a:off x="1838325" y="947738"/>
          <a:ext cx="1304925" cy="4476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457200</xdr:colOff>
      <xdr:row>5</xdr:row>
      <xdr:rowOff>95250</xdr:rowOff>
    </xdr:from>
    <xdr:to>
      <xdr:col>3</xdr:col>
      <xdr:colOff>161925</xdr:colOff>
      <xdr:row>15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285748</xdr:colOff>
      <xdr:row>5</xdr:row>
      <xdr:rowOff>95250</xdr:rowOff>
    </xdr:from>
    <xdr:to>
      <xdr:col>7</xdr:col>
      <xdr:colOff>393748</xdr:colOff>
      <xdr:row>15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5</xdr:row>
      <xdr:rowOff>95250</xdr:rowOff>
    </xdr:from>
    <xdr:to>
      <xdr:col>11</xdr:col>
      <xdr:colOff>108000</xdr:colOff>
      <xdr:row>15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1104900</xdr:colOff>
      <xdr:row>9</xdr:row>
      <xdr:rowOff>38100</xdr:rowOff>
    </xdr:from>
    <xdr:to>
      <xdr:col>2</xdr:col>
      <xdr:colOff>171450</xdr:colOff>
      <xdr:row>11</xdr:row>
      <xdr:rowOff>38100</xdr:rowOff>
    </xdr:to>
    <xdr:sp macro="" textlink="$B$1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1104900" y="1752600"/>
          <a:ext cx="762000" cy="381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7F9E0C0-5D89-48FD-A225-27C87E573259}" type="TxLink">
            <a:rPr lang="en-US" sz="1600" b="0" i="0" u="none" strike="noStrike">
              <a:solidFill>
                <a:schemeClr val="accent1"/>
              </a:solidFill>
              <a:latin typeface="Impact" panose="020B0806030902050204" pitchFamily="34" charset="0"/>
              <a:cs typeface="Calibri"/>
            </a:rPr>
            <a:pPr algn="ctr"/>
            <a:t>89%</a:t>
          </a:fld>
          <a:endParaRPr lang="en-IN" sz="1600">
            <a:solidFill>
              <a:schemeClr val="accent1"/>
            </a:solidFill>
            <a:latin typeface="Impact" panose="020B0806030902050204" pitchFamily="34" charset="0"/>
          </a:endParaRPr>
        </a:p>
      </xdr:txBody>
    </xdr:sp>
    <xdr:clientData/>
  </xdr:twoCellAnchor>
  <xdr:twoCellAnchor>
    <xdr:from>
      <xdr:col>5</xdr:col>
      <xdr:colOff>257175</xdr:colOff>
      <xdr:row>9</xdr:row>
      <xdr:rowOff>76201</xdr:rowOff>
    </xdr:from>
    <xdr:to>
      <xdr:col>6</xdr:col>
      <xdr:colOff>95250</xdr:colOff>
      <xdr:row>11</xdr:row>
      <xdr:rowOff>19051</xdr:rowOff>
    </xdr:to>
    <xdr:sp macro="" textlink="$B$2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3781425" y="1790701"/>
          <a:ext cx="447675" cy="323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A05E8E8-F6E6-4D8D-8955-F0401651A01D}" type="TxLink">
            <a:rPr lang="en-US" sz="1400" b="0" i="0" u="none" strike="noStrike">
              <a:solidFill>
                <a:schemeClr val="accent6">
                  <a:lumMod val="75000"/>
                </a:schemeClr>
              </a:solidFill>
              <a:latin typeface="Impact" panose="020B0806030902050204" pitchFamily="34" charset="0"/>
              <a:cs typeface="Calibri"/>
            </a:rPr>
            <a:pPr algn="ctr"/>
            <a:t>67%</a:t>
          </a:fld>
          <a:endParaRPr lang="en-IN" sz="1400">
            <a:solidFill>
              <a:schemeClr val="accent6">
                <a:lumMod val="75000"/>
              </a:schemeClr>
            </a:solidFill>
            <a:latin typeface="Impact" panose="020B0806030902050204" pitchFamily="34" charset="0"/>
          </a:endParaRPr>
        </a:p>
      </xdr:txBody>
    </xdr:sp>
    <xdr:clientData/>
  </xdr:twoCellAnchor>
  <xdr:twoCellAnchor>
    <xdr:from>
      <xdr:col>8</xdr:col>
      <xdr:colOff>609600</xdr:colOff>
      <xdr:row>9</xdr:row>
      <xdr:rowOff>95250</xdr:rowOff>
    </xdr:from>
    <xdr:to>
      <xdr:col>9</xdr:col>
      <xdr:colOff>533400</xdr:colOff>
      <xdr:row>11</xdr:row>
      <xdr:rowOff>28575</xdr:rowOff>
    </xdr:to>
    <xdr:sp macro="" textlink="$B$3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5962650" y="1809750"/>
          <a:ext cx="533400" cy="3143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6C2B482-462C-494C-9F55-D33A5713E201}" type="TxLink">
            <a:rPr lang="en-US" sz="1600" b="0" i="0" u="none" strike="noStrike">
              <a:solidFill>
                <a:schemeClr val="accent2">
                  <a:lumMod val="75000"/>
                </a:schemeClr>
              </a:solidFill>
              <a:latin typeface="Sylfaen"/>
              <a:cs typeface="Calibri"/>
            </a:rPr>
            <a:pPr algn="ctr"/>
            <a:t>67%</a:t>
          </a:fld>
          <a:endParaRPr lang="en-IN" sz="16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723900</xdr:colOff>
      <xdr:row>15</xdr:row>
      <xdr:rowOff>76200</xdr:rowOff>
    </xdr:from>
    <xdr:to>
      <xdr:col>2</xdr:col>
      <xdr:colOff>609600</xdr:colOff>
      <xdr:row>16</xdr:row>
      <xdr:rowOff>171450</xdr:rowOff>
    </xdr:to>
    <xdr:sp macro="" textlink="$A$1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723900" y="2933700"/>
          <a:ext cx="158115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039604D-2CAB-4710-9677-8DE73DB42940}" type="TxLink">
            <a:rPr lang="en-US" sz="1100" b="0" i="0" u="none" strike="noStrike">
              <a:solidFill>
                <a:schemeClr val="accent1"/>
              </a:solidFill>
              <a:latin typeface="Sylfaen"/>
              <a:cs typeface="Calibri"/>
            </a:rPr>
            <a:pPr/>
            <a:t>Securtiy Level</a:t>
          </a:fld>
          <a:endParaRPr lang="en-IN" sz="1100">
            <a:solidFill>
              <a:schemeClr val="accent1"/>
            </a:solidFill>
          </a:endParaRPr>
        </a:p>
      </xdr:txBody>
    </xdr:sp>
    <xdr:clientData/>
  </xdr:twoCellAnchor>
  <xdr:twoCellAnchor>
    <xdr:from>
      <xdr:col>4</xdr:col>
      <xdr:colOff>590550</xdr:colOff>
      <xdr:row>15</xdr:row>
      <xdr:rowOff>95250</xdr:rowOff>
    </xdr:from>
    <xdr:to>
      <xdr:col>6</xdr:col>
      <xdr:colOff>504825</xdr:colOff>
      <xdr:row>17</xdr:row>
      <xdr:rowOff>0</xdr:rowOff>
    </xdr:to>
    <xdr:sp macro="" textlink="$A$2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3505200" y="2952750"/>
          <a:ext cx="1133475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8959DE9-0C27-427D-B1BD-15B5E4E9B54A}" type="TxLink">
            <a:rPr lang="en-US" sz="1200" b="0" i="0" u="none" strike="noStrike">
              <a:solidFill>
                <a:schemeClr val="accent6">
                  <a:lumMod val="75000"/>
                </a:schemeClr>
              </a:solidFill>
              <a:latin typeface="Sylfaen"/>
              <a:cs typeface="Calibri"/>
            </a:rPr>
            <a:pPr algn="ctr"/>
            <a:t>Productivity%</a:t>
          </a:fld>
          <a:endParaRPr lang="en-IN" sz="12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8</xdr:col>
      <xdr:colOff>438150</xdr:colOff>
      <xdr:row>15</xdr:row>
      <xdr:rowOff>95250</xdr:rowOff>
    </xdr:from>
    <xdr:to>
      <xdr:col>10</xdr:col>
      <xdr:colOff>628650</xdr:colOff>
      <xdr:row>17</xdr:row>
      <xdr:rowOff>0</xdr:rowOff>
    </xdr:to>
    <xdr:sp macro="" textlink="$A$3">
      <xdr:nvSpPr>
        <xdr:cNvPr id="10" name="TextBox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 txBox="1"/>
      </xdr:nvSpPr>
      <xdr:spPr>
        <a:xfrm>
          <a:off x="5791200" y="2952750"/>
          <a:ext cx="1390650" cy="285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1E557D9A-419D-4617-B56F-5465C373AB5A}" type="TxLink">
            <a:rPr lang="en-US" sz="1100" b="0" i="0" u="none" strike="noStrike">
              <a:solidFill>
                <a:srgbClr val="000000"/>
              </a:solidFill>
              <a:latin typeface="Sylfaen"/>
              <a:cs typeface="Calibri"/>
            </a:rPr>
            <a:pPr algn="ctr"/>
            <a:t>Sales Conversion%</a:t>
          </a:fld>
          <a:endParaRPr lang="en-IN" sz="12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2</xdr:row>
      <xdr:rowOff>123825</xdr:rowOff>
    </xdr:from>
    <xdr:ext cx="4572000" cy="2743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152400</xdr:colOff>
      <xdr:row>17</xdr:row>
      <xdr:rowOff>152400</xdr:rowOff>
    </xdr:from>
    <xdr:ext cx="4572000" cy="2743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9525</xdr:colOff>
      <xdr:row>2</xdr:row>
      <xdr:rowOff>123825</xdr:rowOff>
    </xdr:from>
    <xdr:ext cx="4572000" cy="2743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11</xdr:col>
      <xdr:colOff>0</xdr:colOff>
      <xdr:row>18</xdr:row>
      <xdr:rowOff>0</xdr:rowOff>
    </xdr:from>
    <xdr:ext cx="4572000" cy="2743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3</xdr:col>
      <xdr:colOff>190500</xdr:colOff>
      <xdr:row>33</xdr:row>
      <xdr:rowOff>0</xdr:rowOff>
    </xdr:from>
    <xdr:ext cx="4572000" cy="27432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285750</xdr:colOff>
      <xdr:row>1</xdr:row>
      <xdr:rowOff>68036</xdr:rowOff>
    </xdr:to>
    <xdr:pic>
      <xdr:nvPicPr>
        <xdr:cNvPr id="7" name="Picture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0" y="0"/>
          <a:ext cx="285750" cy="258536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161925</xdr:colOff>
      <xdr:row>33</xdr:row>
      <xdr:rowOff>0</xdr:rowOff>
    </xdr:from>
    <xdr:ext cx="5953125" cy="3533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2</xdr:col>
      <xdr:colOff>226220</xdr:colOff>
      <xdr:row>2</xdr:row>
      <xdr:rowOff>88106</xdr:rowOff>
    </xdr:from>
    <xdr:to>
      <xdr:col>13</xdr:col>
      <xdr:colOff>442913</xdr:colOff>
      <xdr:row>15</xdr:row>
      <xdr:rowOff>164306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285750</xdr:colOff>
      <xdr:row>1</xdr:row>
      <xdr:rowOff>68036</xdr:rowOff>
    </xdr:to>
    <xdr:pic>
      <xdr:nvPicPr>
        <xdr:cNvPr id="4" name="Pictur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0" y="0"/>
          <a:ext cx="285750" cy="25853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</xdr:colOff>
      <xdr:row>4</xdr:row>
      <xdr:rowOff>80962</xdr:rowOff>
    </xdr:from>
    <xdr:ext cx="4743450" cy="3152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 editAs="oneCell">
    <xdr:from>
      <xdr:col>0</xdr:col>
      <xdr:colOff>0</xdr:colOff>
      <xdr:row>0</xdr:row>
      <xdr:rowOff>0</xdr:rowOff>
    </xdr:from>
    <xdr:to>
      <xdr:col>0</xdr:col>
      <xdr:colOff>285750</xdr:colOff>
      <xdr:row>1</xdr:row>
      <xdr:rowOff>68036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0" y="0"/>
          <a:ext cx="285750" cy="258536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2</xdr:row>
      <xdr:rowOff>147636</xdr:rowOff>
    </xdr:from>
    <xdr:to>
      <xdr:col>7</xdr:col>
      <xdr:colOff>228600</xdr:colOff>
      <xdr:row>23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285750</xdr:colOff>
      <xdr:row>1</xdr:row>
      <xdr:rowOff>68036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0" y="0"/>
          <a:ext cx="285750" cy="258536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90BCA6-870A-9A04-6D00-12C6563713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247650</xdr:colOff>
      <xdr:row>2</xdr:row>
      <xdr:rowOff>128586</xdr:rowOff>
    </xdr:from>
    <xdr:to>
      <xdr:col>13</xdr:col>
      <xdr:colOff>466725</xdr:colOff>
      <xdr:row>22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285750</xdr:colOff>
      <xdr:row>1</xdr:row>
      <xdr:rowOff>68036</xdr:rowOff>
    </xdr:to>
    <xdr:pic>
      <xdr:nvPicPr>
        <xdr:cNvPr id="3" name="Picture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0" y="0"/>
          <a:ext cx="285750" cy="25853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5</xdr:row>
      <xdr:rowOff>80010</xdr:rowOff>
    </xdr:from>
    <xdr:to>
      <xdr:col>15</xdr:col>
      <xdr:colOff>228600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4AD4AB-19EB-09CE-E90E-E926F09BA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2512291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 txBox="1"/>
      </xdr:nvSpPr>
      <xdr:spPr>
        <a:xfrm>
          <a:off x="38100" y="57150"/>
          <a:ext cx="251229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2000" b="1">
              <a:solidFill>
                <a:schemeClr val="tx1">
                  <a:lumMod val="65000"/>
                  <a:lumOff val="35000"/>
                </a:schemeClr>
              </a:solidFill>
            </a:rPr>
            <a:t>Chart with Combobox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571500</xdr:colOff>
          <xdr:row>5</xdr:row>
          <xdr:rowOff>182880</xdr:rowOff>
        </xdr:from>
        <xdr:to>
          <xdr:col>14</xdr:col>
          <xdr:colOff>571500</xdr:colOff>
          <xdr:row>7</xdr:row>
          <xdr:rowOff>7620</xdr:rowOff>
        </xdr:to>
        <xdr:sp macro="" textlink="">
          <xdr:nvSpPr>
            <xdr:cNvPr id="16385" name="Drop Dow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10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381000</xdr:colOff>
      <xdr:row>5</xdr:row>
      <xdr:rowOff>76200</xdr:rowOff>
    </xdr:from>
    <xdr:to>
      <xdr:col>12</xdr:col>
      <xdr:colOff>523875</xdr:colOff>
      <xdr:row>19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57150</xdr:rowOff>
    </xdr:from>
    <xdr:ext cx="2512291" cy="4054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 txBox="1"/>
      </xdr:nvSpPr>
      <xdr:spPr>
        <a:xfrm>
          <a:off x="38100" y="57150"/>
          <a:ext cx="251229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sz="2000" b="1">
              <a:solidFill>
                <a:schemeClr val="tx1">
                  <a:lumMod val="65000"/>
                  <a:lumOff val="35000"/>
                </a:schemeClr>
              </a:solidFill>
            </a:rPr>
            <a:t>Chart with Combobox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381000</xdr:colOff>
          <xdr:row>5</xdr:row>
          <xdr:rowOff>83820</xdr:rowOff>
        </xdr:from>
        <xdr:to>
          <xdr:col>14</xdr:col>
          <xdr:colOff>518160</xdr:colOff>
          <xdr:row>6</xdr:row>
          <xdr:rowOff>106680</xdr:rowOff>
        </xdr:to>
        <xdr:sp macro="" textlink="">
          <xdr:nvSpPr>
            <xdr:cNvPr id="17409" name="Drop Down 1" hidden="1">
              <a:extLst>
                <a:ext uri="{63B3BB69-23CF-44E3-9099-C40C66FF867C}">
                  <a14:compatExt spid="_x0000_s17409"/>
                </a:ext>
                <a:ext uri="{FF2B5EF4-FFF2-40B4-BE49-F238E27FC236}">
                  <a16:creationId xmlns:a16="http://schemas.microsoft.com/office/drawing/2014/main" id="{00000000-0008-0000-1100-0000014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9</xdr:col>
      <xdr:colOff>76200</xdr:colOff>
      <xdr:row>8</xdr:row>
      <xdr:rowOff>179070</xdr:rowOff>
    </xdr:from>
    <xdr:to>
      <xdr:col>18</xdr:col>
      <xdr:colOff>114300</xdr:colOff>
      <xdr:row>22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5698A2-D460-F095-70E4-C27A2770E7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Azim%20Ahamed/Desktop/Documents%20and%20Settings/akumarja/Local%20Settings/Temporary%20Internet%20Files/Content.Outlook/HP0FWUWB/Conditional%20format/CondFormat01.xls" TargetMode="External"/><Relationship Id="rId1" Type="http://schemas.openxmlformats.org/officeDocument/2006/relationships/externalLinkPath" Target="/Users/Azim%20Ahamed/Desktop/Documents%20and%20Settings/akumarja/Local%20Settings/Temporary%20Internet%20Files/Content.Outlook/HP0FWUWB/Conditional%20format/CondFormat01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Azim%20Ahamed/Desktop/Folder/Folder/Excel%20Training%20-%20Illustrations%20v2/Excel%20Training%20-%20Illustrations%20v2.xls" TargetMode="External"/><Relationship Id="rId1" Type="http://schemas.openxmlformats.org/officeDocument/2006/relationships/externalLinkPath" Target="/Users/Azim%20Ahamed/Desktop/Folder/Folder/Excel%20Training%20-%20Illustrations%20v2/Excel%20Training%20-%20Illustrations%20v2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EP/Downloads/Data%20Analysis%20Tools.xlsx" TargetMode="External"/><Relationship Id="rId1" Type="http://schemas.openxmlformats.org/officeDocument/2006/relationships/externalLinkPath" Target="/Users/EP/Downloads/Data%20Analysis%20Tool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C_Backup/Desktop/Yousuf/Template/2013%20Table%20Slicer%20-%20Employee%20training%20tracker1.xlsx" TargetMode="External"/><Relationship Id="rId1" Type="http://schemas.openxmlformats.org/officeDocument/2006/relationships/externalLinkPath" Target="/C_Backup/Desktop/Yousuf/Template/2013%20Table%20Slicer%20-%20Employee%20training%20tracker1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raining/Excel/Ref/New_desktop/x/Scenario.xls" TargetMode="External"/><Relationship Id="rId1" Type="http://schemas.openxmlformats.org/officeDocument/2006/relationships/externalLinkPath" Target="/Training/Excel/Ref/New_desktop/x/Scenario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raining/Excel/Ref/New_desktop/G_download/exl/test.xls" TargetMode="External"/><Relationship Id="rId1" Type="http://schemas.openxmlformats.org/officeDocument/2006/relationships/externalLinkPath" Target="/Training/Excel/Ref/New_desktop/G_download/exl/test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DOCUME~1/ZACHGE~1/LOCALS~1/Temp/Excel%20Tips%20from%20Chris%20G%20(#2).xls" TargetMode="External"/><Relationship Id="rId1" Type="http://schemas.openxmlformats.org/officeDocument/2006/relationships/externalLinkPath" Target="/DOCUME~1/ZACHGE~1/LOCALS~1/Temp/Excel%20Tips%20from%20Chris%20G%20(#2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Users/HP/Desktop/Advance%20Excel%20Training%20Material.xlsb" TargetMode="External"/><Relationship Id="rId1" Type="http://schemas.openxmlformats.org/officeDocument/2006/relationships/externalLinkPath" Target="/Users/HP/Desktop/Advance%20Excel%20Training%20Material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\Copy%20of%20VLOOKUP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raining/Excel/Ref/New_desktop/G_download/exl/Chapter%205.xls" TargetMode="External"/><Relationship Id="rId1" Type="http://schemas.openxmlformats.org/officeDocument/2006/relationships/externalLinkPath" Target="/Training/Excel/Ref/New_desktop/G_download/exl/Chapter%205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EXCEL%20NEXT/CD_JUN%202010/2011/MAR/Excel%20Next%20-%20Mar%202011/Excel%20Next/eModules_Mar%202011/II/Practice.xls" TargetMode="External"/><Relationship Id="rId1" Type="http://schemas.openxmlformats.org/officeDocument/2006/relationships/externalLinkPath" Target="/EXCEL%20NEXT/CD_JUN%202010/2011/MAR/Excel%20Next%20-%20Mar%202011/Excel%20Next/eModules_Mar%202011/II/Practice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raining/Excel/Ref/New_desktop/G_download/exl/useful_functions_exercise.xls" TargetMode="External"/><Relationship Id="rId1" Type="http://schemas.openxmlformats.org/officeDocument/2006/relationships/externalLinkPath" Target="/Training/Excel/Ref/New_desktop/G_download/exl/useful_functions_exercise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Training/Excel/Ref/New_desktop/G_download/exl/Tutorial%20Two.xls" TargetMode="External"/><Relationship Id="rId1" Type="http://schemas.openxmlformats.org/officeDocument/2006/relationships/externalLinkPath" Target="/Training/Excel/Ref/New_desktop/G_download/exl/Tutorial%20Two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urture%20Tech%20Academ\Download\Dependent%20Drop%20Down%20List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ew\Excel%20Contents%20-%20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me Cell"/>
      <sheetName val="MultiCell"/>
      <sheetName val="Errors"/>
      <sheetName val="Hide Dups"/>
      <sheetName val="In List"/>
      <sheetName val="Duplicates"/>
      <sheetName val="Expiry"/>
      <sheetName val="Lottery"/>
      <sheetName val="Printing"/>
      <sheetName val="Shade Alt"/>
      <sheetName val="Shade Band"/>
      <sheetName val="Shade Filtered"/>
      <sheetName val="Color Shapes"/>
      <sheetName val="MyLinks"/>
    </sheetNames>
    <sheetDataSet>
      <sheetData sheetId="0"/>
      <sheetData sheetId="1"/>
      <sheetData sheetId="2"/>
      <sheetData sheetId="3"/>
      <sheetData sheetId="4">
        <row r="2">
          <cell r="C2" t="str">
            <v>AA</v>
          </cell>
        </row>
        <row r="3">
          <cell r="C3" t="str">
            <v>BB</v>
          </cell>
        </row>
        <row r="4">
          <cell r="C4" t="str">
            <v>CC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s (2)"/>
      <sheetName val="Contents"/>
      <sheetName val="Excel 2007"/>
      <sheetName val="Conditional format Q1"/>
      <sheetName val="Conditional format  A1"/>
      <sheetName val="Conditional format Q2"/>
      <sheetName val="Conditional format A2"/>
      <sheetName val="Conditional format  Q3"/>
      <sheetName val="Conditional format A3"/>
      <sheetName val="Custom list Q"/>
      <sheetName val="Custom list A"/>
      <sheetName val="Remove duplicate"/>
      <sheetName val="Delimit Q"/>
      <sheetName val="Delimit A"/>
      <sheetName val="Protection"/>
      <sheetName val="Paste Special"/>
      <sheetName val="List Q"/>
      <sheetName val="List A"/>
      <sheetName val="Troubleshoot"/>
      <sheetName val="Iserror"/>
      <sheetName val="DSum - Arvind"/>
      <sheetName val="Nested function Q"/>
      <sheetName val="Nested function A"/>
      <sheetName val="Multiple Functions Q"/>
      <sheetName val="Multiple Functions A"/>
      <sheetName val="Waterfall Q"/>
      <sheetName val="Waterfall A"/>
      <sheetName val="Chart and List Q"/>
      <sheetName val="Chart and List A"/>
      <sheetName val="MACROS"/>
      <sheetName val="Macros-old"/>
      <sheetName val="Functions - Others"/>
      <sheetName val="Keyboard Shortcu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oal Seek 1"/>
      <sheetName val="Goal Seek 2"/>
      <sheetName val="Scenario Manager"/>
      <sheetName val="Data Tables"/>
      <sheetName val="Solver"/>
      <sheetName val="Sampling"/>
      <sheetName val="Histogram"/>
      <sheetName val="Scenario Summary"/>
    </sheetNames>
    <sheetDataSet>
      <sheetData sheetId="0"/>
      <sheetData sheetId="1"/>
      <sheetData sheetId="2">
        <row r="3">
          <cell r="B3">
            <v>39.020000000000003</v>
          </cell>
        </row>
        <row r="4">
          <cell r="B4">
            <v>15.19</v>
          </cell>
        </row>
        <row r="5">
          <cell r="B5">
            <v>6.8407</v>
          </cell>
        </row>
        <row r="6">
          <cell r="B6">
            <v>6.6062000000000003</v>
          </cell>
        </row>
        <row r="7">
          <cell r="B7">
            <v>10.383100000000006</v>
          </cell>
        </row>
        <row r="9">
          <cell r="B9">
            <v>3.7098013999999999</v>
          </cell>
        </row>
        <row r="10">
          <cell r="B10">
            <v>6.6732986000000061</v>
          </cell>
        </row>
        <row r="12">
          <cell r="B12">
            <v>3.0920000000000001</v>
          </cell>
        </row>
      </sheetData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raining Log"/>
      <sheetName val="Course List"/>
      <sheetName val="Personnel Info"/>
      <sheetName val="2013 Table Slicer - Employee tr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cenario"/>
      <sheetName val="Scenarios"/>
      <sheetName val="Worksheet 5"/>
    </sheetNames>
    <sheetDataSet>
      <sheetData sheetId="0"/>
      <sheetData sheetId="1">
        <row r="2">
          <cell r="B2">
            <v>32</v>
          </cell>
        </row>
        <row r="12">
          <cell r="B12">
            <v>3564</v>
          </cell>
          <cell r="C12">
            <v>6822</v>
          </cell>
          <cell r="D12">
            <v>8388</v>
          </cell>
        </row>
        <row r="14">
          <cell r="B14">
            <v>18774</v>
          </cell>
        </row>
      </sheetData>
      <sheetData sheetId="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celTips"/>
      <sheetName val="formulas"/>
      <sheetName val="Review"/>
      <sheetName val="Data"/>
      <sheetName val="queries"/>
      <sheetName val="VLOOKUP"/>
      <sheetName val="VL-Dtext"/>
      <sheetName val="Financial"/>
      <sheetName val="RawList1"/>
      <sheetName val="RawList2"/>
      <sheetName val="RawList3"/>
      <sheetName val="Text"/>
      <sheetName val="acme"/>
      <sheetName val="aircrash"/>
      <sheetName val="crashcntrl"/>
      <sheetName val="timeline"/>
      <sheetName val="Analyze"/>
      <sheetName val="RollEm"/>
    </sheetNames>
    <sheetDataSet>
      <sheetData sheetId="0" refreshError="1"/>
      <sheetData sheetId="1" refreshError="1"/>
      <sheetData sheetId="2" refreshError="1"/>
      <sheetData sheetId="3">
        <row r="7">
          <cell r="B7" t="str">
            <v>ID#</v>
          </cell>
          <cell r="C7" t="str">
            <v>LAST NAME</v>
          </cell>
          <cell r="D7" t="str">
            <v>FIRST NAME</v>
          </cell>
          <cell r="E7" t="str">
            <v>GENDER</v>
          </cell>
          <cell r="F7" t="str">
            <v>AGE</v>
          </cell>
          <cell r="G7" t="str">
            <v>PARTY</v>
          </cell>
          <cell r="H7" t="str">
            <v>EDUCATION</v>
          </cell>
          <cell r="I7" t="str">
            <v>STATE</v>
          </cell>
          <cell r="J7" t="str">
            <v>HOME?</v>
          </cell>
          <cell r="K7" t="str">
            <v>SALARY</v>
          </cell>
        </row>
        <row r="8">
          <cell r="B8">
            <v>1000</v>
          </cell>
          <cell r="C8" t="str">
            <v>Allen</v>
          </cell>
          <cell r="D8" t="str">
            <v>Ernest M.</v>
          </cell>
          <cell r="E8" t="str">
            <v>M</v>
          </cell>
          <cell r="F8">
            <v>59</v>
          </cell>
          <cell r="G8" t="str">
            <v>U</v>
          </cell>
          <cell r="H8" t="str">
            <v>Bachelors</v>
          </cell>
          <cell r="I8" t="str">
            <v>ME</v>
          </cell>
          <cell r="J8" t="str">
            <v>Y</v>
          </cell>
          <cell r="K8">
            <v>66000</v>
          </cell>
        </row>
        <row r="9">
          <cell r="B9">
            <v>1001</v>
          </cell>
          <cell r="C9" t="str">
            <v>Anderson</v>
          </cell>
          <cell r="D9" t="str">
            <v>Robert D.</v>
          </cell>
          <cell r="E9" t="str">
            <v>M</v>
          </cell>
          <cell r="F9">
            <v>80</v>
          </cell>
          <cell r="G9" t="str">
            <v>U</v>
          </cell>
          <cell r="H9" t="str">
            <v>Bachelors</v>
          </cell>
          <cell r="I9" t="str">
            <v>MA</v>
          </cell>
          <cell r="J9" t="str">
            <v>N</v>
          </cell>
          <cell r="K9">
            <v>39000</v>
          </cell>
        </row>
        <row r="10">
          <cell r="B10">
            <v>1002</v>
          </cell>
          <cell r="C10" t="str">
            <v>Armstrong</v>
          </cell>
          <cell r="D10" t="str">
            <v>Jack B.</v>
          </cell>
          <cell r="E10" t="str">
            <v>M</v>
          </cell>
          <cell r="F10">
            <v>31</v>
          </cell>
          <cell r="G10" t="str">
            <v>R</v>
          </cell>
          <cell r="H10" t="str">
            <v>Post Grad</v>
          </cell>
          <cell r="I10" t="str">
            <v>RI</v>
          </cell>
          <cell r="J10" t="str">
            <v>Y</v>
          </cell>
          <cell r="K10">
            <v>45000</v>
          </cell>
        </row>
        <row r="11">
          <cell r="B11">
            <v>1003</v>
          </cell>
          <cell r="C11" t="str">
            <v>Bailow</v>
          </cell>
          <cell r="D11" t="str">
            <v>Brian E.</v>
          </cell>
          <cell r="E11" t="str">
            <v>M</v>
          </cell>
          <cell r="F11">
            <v>55</v>
          </cell>
          <cell r="G11" t="str">
            <v>U</v>
          </cell>
          <cell r="H11" t="str">
            <v>Bachelors</v>
          </cell>
          <cell r="I11" t="str">
            <v>VT</v>
          </cell>
          <cell r="J11" t="str">
            <v>Y</v>
          </cell>
          <cell r="K11">
            <v>44000</v>
          </cell>
        </row>
        <row r="12">
          <cell r="B12">
            <v>1004</v>
          </cell>
          <cell r="C12" t="str">
            <v>Best</v>
          </cell>
          <cell r="D12" t="str">
            <v>Lucien L.</v>
          </cell>
          <cell r="E12" t="str">
            <v>M</v>
          </cell>
          <cell r="F12">
            <v>21</v>
          </cell>
          <cell r="G12" t="str">
            <v>U</v>
          </cell>
          <cell r="H12" t="str">
            <v>High School</v>
          </cell>
          <cell r="I12" t="str">
            <v>VT</v>
          </cell>
          <cell r="J12" t="str">
            <v>N</v>
          </cell>
          <cell r="K12">
            <v>23000</v>
          </cell>
        </row>
        <row r="13">
          <cell r="B13">
            <v>1005</v>
          </cell>
          <cell r="C13" t="str">
            <v>Bigelow</v>
          </cell>
          <cell r="D13" t="str">
            <v>C. David</v>
          </cell>
          <cell r="E13" t="str">
            <v>M</v>
          </cell>
          <cell r="F13">
            <v>41</v>
          </cell>
          <cell r="G13" t="str">
            <v>U</v>
          </cell>
          <cell r="H13" t="str">
            <v>High School</v>
          </cell>
          <cell r="I13" t="str">
            <v>MA</v>
          </cell>
          <cell r="J13" t="str">
            <v>Y</v>
          </cell>
          <cell r="K13">
            <v>38000</v>
          </cell>
        </row>
        <row r="14">
          <cell r="B14">
            <v>1006</v>
          </cell>
          <cell r="C14" t="str">
            <v>Blackstone</v>
          </cell>
          <cell r="D14" t="str">
            <v>Alice B.</v>
          </cell>
          <cell r="E14" t="str">
            <v>F</v>
          </cell>
          <cell r="F14">
            <v>72</v>
          </cell>
          <cell r="G14" t="str">
            <v>U</v>
          </cell>
          <cell r="H14" t="str">
            <v>Associates</v>
          </cell>
          <cell r="I14" t="str">
            <v>CT</v>
          </cell>
          <cell r="J14" t="str">
            <v>Y</v>
          </cell>
          <cell r="K14">
            <v>67000</v>
          </cell>
        </row>
        <row r="15">
          <cell r="B15">
            <v>1007</v>
          </cell>
          <cell r="C15" t="str">
            <v>Blackstone</v>
          </cell>
          <cell r="D15" t="str">
            <v>Marylee C.</v>
          </cell>
          <cell r="E15" t="str">
            <v>F</v>
          </cell>
          <cell r="F15">
            <v>78</v>
          </cell>
          <cell r="G15" t="str">
            <v>D</v>
          </cell>
          <cell r="H15" t="str">
            <v>High School</v>
          </cell>
          <cell r="I15" t="str">
            <v>ME</v>
          </cell>
          <cell r="J15" t="str">
            <v>N</v>
          </cell>
          <cell r="K15">
            <v>21000</v>
          </cell>
        </row>
        <row r="16">
          <cell r="B16">
            <v>1008</v>
          </cell>
          <cell r="C16" t="str">
            <v>Blaisdell</v>
          </cell>
          <cell r="D16" t="str">
            <v>Toby Anne</v>
          </cell>
          <cell r="E16" t="str">
            <v>F</v>
          </cell>
          <cell r="F16">
            <v>79</v>
          </cell>
          <cell r="G16" t="str">
            <v>D</v>
          </cell>
          <cell r="H16" t="str">
            <v>Associates</v>
          </cell>
          <cell r="I16" t="str">
            <v>ME</v>
          </cell>
          <cell r="J16" t="str">
            <v>Y</v>
          </cell>
          <cell r="K16">
            <v>44000</v>
          </cell>
        </row>
        <row r="17">
          <cell r="B17">
            <v>1009</v>
          </cell>
          <cell r="C17" t="str">
            <v>Brown</v>
          </cell>
          <cell r="D17" t="str">
            <v>Harriet I.</v>
          </cell>
          <cell r="E17" t="str">
            <v>F</v>
          </cell>
          <cell r="F17">
            <v>56</v>
          </cell>
          <cell r="G17" t="str">
            <v>R</v>
          </cell>
          <cell r="H17" t="str">
            <v>Bachelors</v>
          </cell>
          <cell r="I17" t="str">
            <v>MA</v>
          </cell>
          <cell r="J17" t="str">
            <v>N</v>
          </cell>
          <cell r="K17">
            <v>51000</v>
          </cell>
        </row>
        <row r="18">
          <cell r="B18">
            <v>1010</v>
          </cell>
          <cell r="C18" t="str">
            <v>Brown</v>
          </cell>
          <cell r="D18" t="str">
            <v>Judith M.</v>
          </cell>
          <cell r="E18" t="str">
            <v>F</v>
          </cell>
          <cell r="F18">
            <v>23</v>
          </cell>
          <cell r="G18" t="str">
            <v>R</v>
          </cell>
          <cell r="H18" t="str">
            <v>Bachelors</v>
          </cell>
          <cell r="I18" t="str">
            <v>MA</v>
          </cell>
          <cell r="J18" t="str">
            <v>Y</v>
          </cell>
          <cell r="K18">
            <v>83000</v>
          </cell>
        </row>
        <row r="19">
          <cell r="B19">
            <v>1011</v>
          </cell>
          <cell r="C19" t="str">
            <v>Brown</v>
          </cell>
          <cell r="D19" t="str">
            <v>George W. Sr</v>
          </cell>
          <cell r="E19" t="str">
            <v>M</v>
          </cell>
          <cell r="F19">
            <v>22</v>
          </cell>
          <cell r="G19" t="str">
            <v>U</v>
          </cell>
          <cell r="H19" t="str">
            <v>Post Grad</v>
          </cell>
          <cell r="I19" t="str">
            <v>RI</v>
          </cell>
          <cell r="J19" t="str">
            <v>Y</v>
          </cell>
          <cell r="K19">
            <v>59000</v>
          </cell>
        </row>
        <row r="20">
          <cell r="B20">
            <v>1012</v>
          </cell>
          <cell r="C20" t="str">
            <v>Brown</v>
          </cell>
          <cell r="D20" t="str">
            <v>Louis J.</v>
          </cell>
          <cell r="E20" t="str">
            <v>M</v>
          </cell>
          <cell r="F20">
            <v>84</v>
          </cell>
          <cell r="G20" t="str">
            <v>R</v>
          </cell>
          <cell r="H20" t="str">
            <v>Associates</v>
          </cell>
          <cell r="I20" t="str">
            <v>VT</v>
          </cell>
          <cell r="J20" t="str">
            <v>N</v>
          </cell>
          <cell r="K20">
            <v>29000</v>
          </cell>
        </row>
        <row r="21">
          <cell r="B21">
            <v>1013</v>
          </cell>
          <cell r="C21" t="str">
            <v>Brown</v>
          </cell>
          <cell r="D21" t="str">
            <v>Helen C.</v>
          </cell>
          <cell r="E21" t="str">
            <v>F</v>
          </cell>
          <cell r="F21">
            <v>29</v>
          </cell>
          <cell r="G21" t="str">
            <v>R</v>
          </cell>
          <cell r="H21" t="str">
            <v>High School</v>
          </cell>
          <cell r="I21" t="str">
            <v>VT</v>
          </cell>
          <cell r="J21" t="str">
            <v>Y</v>
          </cell>
          <cell r="K21">
            <v>50000</v>
          </cell>
        </row>
        <row r="22">
          <cell r="B22">
            <v>1014</v>
          </cell>
          <cell r="C22" t="str">
            <v>Chesley</v>
          </cell>
          <cell r="D22" t="str">
            <v>Roy L.</v>
          </cell>
          <cell r="E22" t="str">
            <v>M</v>
          </cell>
          <cell r="F22">
            <v>29</v>
          </cell>
          <cell r="G22" t="str">
            <v>D</v>
          </cell>
          <cell r="H22" t="str">
            <v>High School</v>
          </cell>
          <cell r="I22" t="str">
            <v>CT</v>
          </cell>
          <cell r="J22" t="str">
            <v>Y</v>
          </cell>
          <cell r="K22">
            <v>84000</v>
          </cell>
        </row>
        <row r="23">
          <cell r="B23">
            <v>1015</v>
          </cell>
          <cell r="C23" t="str">
            <v>Coffin</v>
          </cell>
          <cell r="D23" t="str">
            <v>A. Earl</v>
          </cell>
          <cell r="E23" t="str">
            <v>M</v>
          </cell>
          <cell r="F23">
            <v>67</v>
          </cell>
          <cell r="G23" t="str">
            <v>U</v>
          </cell>
          <cell r="H23" t="str">
            <v>Bachelors</v>
          </cell>
          <cell r="I23" t="str">
            <v>ME</v>
          </cell>
          <cell r="J23" t="str">
            <v>Y</v>
          </cell>
          <cell r="K23">
            <v>73000</v>
          </cell>
        </row>
        <row r="24">
          <cell r="B24">
            <v>1016</v>
          </cell>
          <cell r="C24" t="str">
            <v>Coffin</v>
          </cell>
          <cell r="D24" t="str">
            <v>William R.</v>
          </cell>
          <cell r="E24" t="str">
            <v>M</v>
          </cell>
          <cell r="F24">
            <v>34</v>
          </cell>
          <cell r="G24" t="str">
            <v>D</v>
          </cell>
          <cell r="H24" t="str">
            <v>Bachelors</v>
          </cell>
          <cell r="I24" t="str">
            <v>ME</v>
          </cell>
          <cell r="J24" t="str">
            <v>Y</v>
          </cell>
          <cell r="K24">
            <v>29000</v>
          </cell>
        </row>
        <row r="25">
          <cell r="B25">
            <v>1017</v>
          </cell>
          <cell r="C25" t="str">
            <v>Cookson</v>
          </cell>
          <cell r="D25" t="str">
            <v>Beverly K.</v>
          </cell>
          <cell r="E25" t="str">
            <v>F</v>
          </cell>
          <cell r="F25">
            <v>38</v>
          </cell>
          <cell r="G25" t="str">
            <v>U</v>
          </cell>
          <cell r="H25" t="str">
            <v>Associates</v>
          </cell>
          <cell r="I25" t="str">
            <v>CT</v>
          </cell>
          <cell r="J25" t="str">
            <v>Y</v>
          </cell>
          <cell r="K25">
            <v>54000</v>
          </cell>
        </row>
        <row r="26">
          <cell r="B26">
            <v>1018</v>
          </cell>
          <cell r="C26" t="str">
            <v>Coulombe</v>
          </cell>
          <cell r="D26" t="str">
            <v>Anne F.</v>
          </cell>
          <cell r="E26" t="str">
            <v>F</v>
          </cell>
          <cell r="F26">
            <v>58</v>
          </cell>
          <cell r="G26" t="str">
            <v>U</v>
          </cell>
          <cell r="H26" t="str">
            <v>Bachelors</v>
          </cell>
          <cell r="I26" t="str">
            <v>ME</v>
          </cell>
          <cell r="J26" t="str">
            <v>N</v>
          </cell>
          <cell r="K26">
            <v>34000</v>
          </cell>
        </row>
        <row r="27">
          <cell r="B27">
            <v>1019</v>
          </cell>
          <cell r="C27" t="str">
            <v>Coulombe</v>
          </cell>
          <cell r="D27" t="str">
            <v>Brewster H.</v>
          </cell>
          <cell r="E27" t="str">
            <v>M</v>
          </cell>
          <cell r="F27">
            <v>62</v>
          </cell>
          <cell r="G27" t="str">
            <v>U</v>
          </cell>
          <cell r="H27" t="str">
            <v>High School</v>
          </cell>
          <cell r="I27" t="str">
            <v>NH</v>
          </cell>
          <cell r="J27" t="str">
            <v>Y</v>
          </cell>
          <cell r="K27">
            <v>51000</v>
          </cell>
        </row>
        <row r="28">
          <cell r="B28">
            <v>1020</v>
          </cell>
          <cell r="C28" t="str">
            <v>Crain</v>
          </cell>
          <cell r="D28" t="str">
            <v>Robert J.</v>
          </cell>
          <cell r="E28" t="str">
            <v>M</v>
          </cell>
          <cell r="F28">
            <v>47</v>
          </cell>
          <cell r="G28" t="str">
            <v>D</v>
          </cell>
          <cell r="H28" t="str">
            <v>High School</v>
          </cell>
          <cell r="I28" t="str">
            <v>VT</v>
          </cell>
          <cell r="J28" t="str">
            <v>Y</v>
          </cell>
          <cell r="K28">
            <v>26000</v>
          </cell>
        </row>
        <row r="29">
          <cell r="B29">
            <v>1021</v>
          </cell>
          <cell r="C29" t="str">
            <v>Daly</v>
          </cell>
          <cell r="D29" t="str">
            <v>Judith S.</v>
          </cell>
          <cell r="E29" t="str">
            <v>F</v>
          </cell>
          <cell r="F29">
            <v>38</v>
          </cell>
          <cell r="G29" t="str">
            <v>R</v>
          </cell>
          <cell r="H29" t="str">
            <v>High School</v>
          </cell>
          <cell r="I29" t="str">
            <v>CT</v>
          </cell>
          <cell r="J29" t="str">
            <v>Y</v>
          </cell>
          <cell r="K29">
            <v>58000</v>
          </cell>
        </row>
        <row r="30">
          <cell r="B30">
            <v>1022</v>
          </cell>
          <cell r="C30" t="str">
            <v>Daly</v>
          </cell>
          <cell r="D30" t="str">
            <v>Joan A.</v>
          </cell>
          <cell r="E30" t="str">
            <v>F</v>
          </cell>
          <cell r="F30">
            <v>63</v>
          </cell>
          <cell r="G30" t="str">
            <v>R</v>
          </cell>
          <cell r="H30" t="str">
            <v>Bachelors</v>
          </cell>
          <cell r="I30" t="str">
            <v>MA</v>
          </cell>
          <cell r="J30" t="str">
            <v>N</v>
          </cell>
          <cell r="K30">
            <v>26000</v>
          </cell>
        </row>
        <row r="31">
          <cell r="B31">
            <v>1023</v>
          </cell>
          <cell r="C31" t="str">
            <v>Dewitt</v>
          </cell>
          <cell r="D31" t="str">
            <v>Beatrice D.</v>
          </cell>
          <cell r="E31" t="str">
            <v>F</v>
          </cell>
          <cell r="F31">
            <v>47</v>
          </cell>
          <cell r="G31" t="str">
            <v>U</v>
          </cell>
          <cell r="H31" t="str">
            <v>Post Grad</v>
          </cell>
          <cell r="I31" t="str">
            <v>NH</v>
          </cell>
          <cell r="J31" t="str">
            <v>Y</v>
          </cell>
          <cell r="K31">
            <v>90000</v>
          </cell>
        </row>
        <row r="32">
          <cell r="B32">
            <v>1024</v>
          </cell>
          <cell r="C32" t="str">
            <v>Dewitt</v>
          </cell>
          <cell r="D32" t="str">
            <v>Joan F.</v>
          </cell>
          <cell r="E32" t="str">
            <v>F</v>
          </cell>
          <cell r="F32">
            <v>44</v>
          </cell>
          <cell r="G32" t="str">
            <v>R</v>
          </cell>
          <cell r="H32" t="str">
            <v>Bachelors</v>
          </cell>
          <cell r="I32" t="str">
            <v>NH</v>
          </cell>
          <cell r="J32" t="str">
            <v>N</v>
          </cell>
          <cell r="K32">
            <v>24000</v>
          </cell>
        </row>
        <row r="33">
          <cell r="B33">
            <v>1025</v>
          </cell>
          <cell r="C33" t="str">
            <v>Dobson</v>
          </cell>
          <cell r="D33" t="str">
            <v>Beverly J.</v>
          </cell>
          <cell r="E33" t="str">
            <v>F</v>
          </cell>
          <cell r="F33">
            <v>62</v>
          </cell>
          <cell r="G33" t="str">
            <v>U</v>
          </cell>
          <cell r="H33" t="str">
            <v>High School</v>
          </cell>
          <cell r="I33" t="str">
            <v>RI</v>
          </cell>
          <cell r="J33" t="str">
            <v>Y</v>
          </cell>
          <cell r="K33">
            <v>32000</v>
          </cell>
        </row>
        <row r="34">
          <cell r="B34">
            <v>1026</v>
          </cell>
          <cell r="C34" t="str">
            <v>Dumont</v>
          </cell>
          <cell r="D34" t="str">
            <v>George L.</v>
          </cell>
          <cell r="E34" t="str">
            <v>M</v>
          </cell>
          <cell r="F34">
            <v>31</v>
          </cell>
          <cell r="G34" t="str">
            <v>U</v>
          </cell>
          <cell r="H34" t="str">
            <v>High School</v>
          </cell>
          <cell r="I34" t="str">
            <v>CT</v>
          </cell>
          <cell r="J34" t="str">
            <v>Y</v>
          </cell>
          <cell r="K34">
            <v>61000</v>
          </cell>
        </row>
        <row r="35">
          <cell r="B35">
            <v>1027</v>
          </cell>
          <cell r="C35" t="str">
            <v>Dumont</v>
          </cell>
          <cell r="D35" t="str">
            <v>Judith K.</v>
          </cell>
          <cell r="E35" t="str">
            <v>F</v>
          </cell>
          <cell r="F35">
            <v>86</v>
          </cell>
          <cell r="G35" t="str">
            <v>R</v>
          </cell>
          <cell r="H35" t="str">
            <v>Bachelors</v>
          </cell>
          <cell r="I35" t="str">
            <v>NH</v>
          </cell>
          <cell r="J35" t="str">
            <v>Y</v>
          </cell>
          <cell r="K35">
            <v>84000</v>
          </cell>
        </row>
        <row r="36">
          <cell r="B36">
            <v>1028</v>
          </cell>
          <cell r="C36" t="str">
            <v>Dyer</v>
          </cell>
          <cell r="D36" t="str">
            <v>Arlene J.</v>
          </cell>
          <cell r="E36" t="str">
            <v>F</v>
          </cell>
          <cell r="F36">
            <v>45</v>
          </cell>
          <cell r="G36" t="str">
            <v>U</v>
          </cell>
          <cell r="H36" t="str">
            <v>High School</v>
          </cell>
          <cell r="I36" t="str">
            <v>ME</v>
          </cell>
          <cell r="J36" t="str">
            <v>N</v>
          </cell>
          <cell r="K36">
            <v>19000</v>
          </cell>
        </row>
        <row r="37">
          <cell r="B37">
            <v>1029</v>
          </cell>
          <cell r="C37" t="str">
            <v>Eggleston</v>
          </cell>
          <cell r="D37" t="str">
            <v>James N. Jr.</v>
          </cell>
          <cell r="E37" t="str">
            <v>M</v>
          </cell>
          <cell r="F37">
            <v>47</v>
          </cell>
          <cell r="G37" t="str">
            <v>R</v>
          </cell>
          <cell r="H37" t="str">
            <v>Bachelors</v>
          </cell>
          <cell r="I37" t="str">
            <v>MA</v>
          </cell>
          <cell r="J37" t="str">
            <v>N</v>
          </cell>
          <cell r="K37">
            <v>40000</v>
          </cell>
        </row>
        <row r="38">
          <cell r="B38">
            <v>1030</v>
          </cell>
          <cell r="C38" t="str">
            <v>Eggleston</v>
          </cell>
          <cell r="D38" t="str">
            <v>Margaret</v>
          </cell>
          <cell r="E38" t="str">
            <v>F</v>
          </cell>
          <cell r="F38">
            <v>72</v>
          </cell>
          <cell r="G38" t="str">
            <v>D</v>
          </cell>
          <cell r="H38" t="str">
            <v>Associates</v>
          </cell>
          <cell r="I38" t="str">
            <v>NH</v>
          </cell>
          <cell r="J38" t="str">
            <v>N</v>
          </cell>
          <cell r="K38">
            <v>18000</v>
          </cell>
        </row>
        <row r="39">
          <cell r="B39">
            <v>1031</v>
          </cell>
          <cell r="C39" t="str">
            <v>Fata</v>
          </cell>
          <cell r="D39" t="str">
            <v>Herbert J.</v>
          </cell>
          <cell r="E39" t="str">
            <v>M</v>
          </cell>
          <cell r="F39">
            <v>65</v>
          </cell>
          <cell r="G39" t="str">
            <v>R</v>
          </cell>
          <cell r="H39" t="str">
            <v>Bachelors</v>
          </cell>
          <cell r="I39" t="str">
            <v>RI</v>
          </cell>
          <cell r="J39" t="str">
            <v>Y</v>
          </cell>
          <cell r="K39">
            <v>48000</v>
          </cell>
        </row>
        <row r="40">
          <cell r="B40">
            <v>1032</v>
          </cell>
          <cell r="C40" t="str">
            <v>Fowler</v>
          </cell>
          <cell r="D40" t="str">
            <v>Ronald R.</v>
          </cell>
          <cell r="E40" t="str">
            <v>M</v>
          </cell>
          <cell r="F40">
            <v>28</v>
          </cell>
          <cell r="G40" t="str">
            <v>D</v>
          </cell>
          <cell r="H40" t="str">
            <v>High School</v>
          </cell>
          <cell r="I40" t="str">
            <v>MA</v>
          </cell>
          <cell r="J40" t="str">
            <v>N</v>
          </cell>
          <cell r="K40">
            <v>28000</v>
          </cell>
        </row>
        <row r="41">
          <cell r="B41">
            <v>1033</v>
          </cell>
          <cell r="C41" t="str">
            <v>Godfrey</v>
          </cell>
          <cell r="D41" t="str">
            <v>Rita C.</v>
          </cell>
          <cell r="E41" t="str">
            <v>F</v>
          </cell>
          <cell r="F41">
            <v>35</v>
          </cell>
          <cell r="G41" t="str">
            <v>D</v>
          </cell>
          <cell r="H41" t="str">
            <v>Associates</v>
          </cell>
          <cell r="I41" t="str">
            <v>NH</v>
          </cell>
          <cell r="J41" t="str">
            <v>Y</v>
          </cell>
          <cell r="K41">
            <v>48000</v>
          </cell>
        </row>
        <row r="42">
          <cell r="B42">
            <v>1034</v>
          </cell>
          <cell r="C42" t="str">
            <v>Gray</v>
          </cell>
          <cell r="D42" t="str">
            <v>John P.</v>
          </cell>
          <cell r="E42" t="str">
            <v>M</v>
          </cell>
          <cell r="F42">
            <v>41</v>
          </cell>
          <cell r="G42" t="str">
            <v>R</v>
          </cell>
          <cell r="H42" t="str">
            <v>High School</v>
          </cell>
          <cell r="I42" t="str">
            <v>NH</v>
          </cell>
          <cell r="J42" t="str">
            <v>N</v>
          </cell>
          <cell r="K42">
            <v>40000</v>
          </cell>
        </row>
        <row r="43">
          <cell r="B43">
            <v>1035</v>
          </cell>
          <cell r="C43" t="str">
            <v>Hagar</v>
          </cell>
          <cell r="D43" t="str">
            <v>Kent L.</v>
          </cell>
          <cell r="E43" t="str">
            <v>M</v>
          </cell>
          <cell r="F43">
            <v>29</v>
          </cell>
          <cell r="G43" t="str">
            <v>R</v>
          </cell>
          <cell r="H43" t="str">
            <v>Post Grad</v>
          </cell>
          <cell r="I43" t="str">
            <v>MA</v>
          </cell>
          <cell r="J43" t="str">
            <v>Y</v>
          </cell>
          <cell r="K43">
            <v>62000</v>
          </cell>
        </row>
        <row r="44">
          <cell r="B44">
            <v>1036</v>
          </cell>
          <cell r="C44" t="str">
            <v>Haines</v>
          </cell>
          <cell r="D44" t="str">
            <v>William E.</v>
          </cell>
          <cell r="E44" t="str">
            <v>M</v>
          </cell>
          <cell r="F44">
            <v>64</v>
          </cell>
          <cell r="G44" t="str">
            <v>D</v>
          </cell>
          <cell r="H44" t="str">
            <v>Bachelors</v>
          </cell>
          <cell r="I44" t="str">
            <v>ME</v>
          </cell>
          <cell r="J44" t="str">
            <v>Y</v>
          </cell>
          <cell r="K44">
            <v>41000</v>
          </cell>
        </row>
        <row r="45">
          <cell r="B45">
            <v>1037</v>
          </cell>
          <cell r="C45" t="str">
            <v>Hanson</v>
          </cell>
          <cell r="D45" t="str">
            <v>Alice A.</v>
          </cell>
          <cell r="E45" t="str">
            <v>F</v>
          </cell>
          <cell r="F45">
            <v>24</v>
          </cell>
          <cell r="G45" t="str">
            <v>U</v>
          </cell>
          <cell r="H45" t="str">
            <v>High School</v>
          </cell>
          <cell r="I45" t="str">
            <v>ME</v>
          </cell>
          <cell r="J45" t="str">
            <v>Y</v>
          </cell>
          <cell r="K45">
            <v>68000</v>
          </cell>
        </row>
        <row r="46">
          <cell r="B46">
            <v>1038</v>
          </cell>
          <cell r="C46" t="str">
            <v>Hanson</v>
          </cell>
          <cell r="D46" t="str">
            <v>Constance</v>
          </cell>
          <cell r="E46" t="str">
            <v>F</v>
          </cell>
          <cell r="F46">
            <v>82</v>
          </cell>
          <cell r="G46" t="str">
            <v>U</v>
          </cell>
          <cell r="H46" t="str">
            <v>High School</v>
          </cell>
          <cell r="I46" t="str">
            <v>RI</v>
          </cell>
          <cell r="J46" t="str">
            <v>N</v>
          </cell>
          <cell r="K46">
            <v>22000</v>
          </cell>
        </row>
        <row r="47">
          <cell r="B47">
            <v>1039</v>
          </cell>
          <cell r="C47" t="str">
            <v>Hanson</v>
          </cell>
          <cell r="D47" t="str">
            <v>Richard R.</v>
          </cell>
          <cell r="E47" t="str">
            <v>M</v>
          </cell>
          <cell r="F47">
            <v>36</v>
          </cell>
          <cell r="G47" t="str">
            <v>D</v>
          </cell>
          <cell r="H47" t="str">
            <v>Associates</v>
          </cell>
          <cell r="I47" t="str">
            <v>RI</v>
          </cell>
          <cell r="J47" t="str">
            <v>Y</v>
          </cell>
          <cell r="K47">
            <v>54000</v>
          </cell>
        </row>
        <row r="48">
          <cell r="B48">
            <v>1040</v>
          </cell>
          <cell r="C48" t="str">
            <v>Harvey</v>
          </cell>
          <cell r="D48" t="str">
            <v>Lewis D.</v>
          </cell>
          <cell r="E48" t="str">
            <v>M</v>
          </cell>
          <cell r="F48">
            <v>29</v>
          </cell>
          <cell r="G48" t="str">
            <v>R</v>
          </cell>
          <cell r="H48" t="str">
            <v>Bachelors</v>
          </cell>
          <cell r="I48" t="str">
            <v>MA</v>
          </cell>
          <cell r="J48" t="str">
            <v>Y</v>
          </cell>
          <cell r="K48">
            <v>48000</v>
          </cell>
        </row>
        <row r="49">
          <cell r="B49">
            <v>1041</v>
          </cell>
          <cell r="C49" t="str">
            <v>Harvey</v>
          </cell>
          <cell r="D49" t="str">
            <v>Joan</v>
          </cell>
          <cell r="E49" t="str">
            <v>F</v>
          </cell>
          <cell r="F49">
            <v>29</v>
          </cell>
          <cell r="G49" t="str">
            <v>R</v>
          </cell>
          <cell r="H49" t="str">
            <v>Bachelors</v>
          </cell>
          <cell r="I49" t="str">
            <v>RI</v>
          </cell>
          <cell r="J49" t="str">
            <v>Y</v>
          </cell>
          <cell r="K49">
            <v>29000</v>
          </cell>
        </row>
        <row r="50">
          <cell r="B50">
            <v>1042</v>
          </cell>
          <cell r="C50" t="str">
            <v>Herrick</v>
          </cell>
          <cell r="D50" t="str">
            <v>Judith H.</v>
          </cell>
          <cell r="E50" t="str">
            <v>F</v>
          </cell>
          <cell r="F50">
            <v>29</v>
          </cell>
          <cell r="G50" t="str">
            <v>R</v>
          </cell>
          <cell r="H50" t="str">
            <v>Associates</v>
          </cell>
          <cell r="I50" t="str">
            <v>ME</v>
          </cell>
          <cell r="J50" t="str">
            <v>Y</v>
          </cell>
          <cell r="K50">
            <v>88000</v>
          </cell>
        </row>
        <row r="51">
          <cell r="B51">
            <v>1043</v>
          </cell>
          <cell r="C51" t="str">
            <v>Hilton</v>
          </cell>
          <cell r="D51" t="str">
            <v>Mary G.</v>
          </cell>
          <cell r="E51" t="str">
            <v>F</v>
          </cell>
          <cell r="F51">
            <v>37</v>
          </cell>
          <cell r="G51" t="str">
            <v>R</v>
          </cell>
          <cell r="H51" t="str">
            <v>High School</v>
          </cell>
          <cell r="I51" t="str">
            <v>MA</v>
          </cell>
          <cell r="J51" t="str">
            <v>N</v>
          </cell>
          <cell r="K51">
            <v>21000</v>
          </cell>
        </row>
        <row r="52">
          <cell r="B52">
            <v>1044</v>
          </cell>
          <cell r="C52" t="str">
            <v>Hilton</v>
          </cell>
          <cell r="D52" t="str">
            <v>Mary A.</v>
          </cell>
          <cell r="E52" t="str">
            <v>F</v>
          </cell>
          <cell r="F52">
            <v>62</v>
          </cell>
          <cell r="G52" t="str">
            <v>D</v>
          </cell>
          <cell r="H52" t="str">
            <v>Bachelors</v>
          </cell>
          <cell r="I52" t="str">
            <v>VT</v>
          </cell>
          <cell r="J52" t="str">
            <v>N</v>
          </cell>
          <cell r="K52">
            <v>22000</v>
          </cell>
        </row>
        <row r="53">
          <cell r="B53">
            <v>1045</v>
          </cell>
          <cell r="C53" t="str">
            <v>Himmelfarb</v>
          </cell>
          <cell r="D53" t="str">
            <v>Rosemarie</v>
          </cell>
          <cell r="E53" t="str">
            <v>F</v>
          </cell>
          <cell r="F53">
            <v>57</v>
          </cell>
          <cell r="G53" t="str">
            <v>D</v>
          </cell>
          <cell r="H53" t="str">
            <v>Post Grad</v>
          </cell>
          <cell r="I53" t="str">
            <v>RI</v>
          </cell>
          <cell r="J53" t="str">
            <v>Y</v>
          </cell>
          <cell r="K53">
            <v>90000</v>
          </cell>
        </row>
        <row r="54">
          <cell r="B54">
            <v>1046</v>
          </cell>
          <cell r="C54" t="str">
            <v>Hodsdon</v>
          </cell>
          <cell r="D54" t="str">
            <v>Gerald H.</v>
          </cell>
          <cell r="E54" t="str">
            <v>M</v>
          </cell>
          <cell r="F54">
            <v>18</v>
          </cell>
          <cell r="G54" t="str">
            <v>U</v>
          </cell>
          <cell r="H54" t="str">
            <v>High School</v>
          </cell>
          <cell r="I54" t="str">
            <v>NH</v>
          </cell>
          <cell r="J54" t="str">
            <v>Y</v>
          </cell>
          <cell r="K54">
            <v>55000</v>
          </cell>
        </row>
        <row r="55">
          <cell r="B55">
            <v>1047</v>
          </cell>
          <cell r="C55" t="str">
            <v>Hodsdon</v>
          </cell>
          <cell r="D55" t="str">
            <v>Leroy A.</v>
          </cell>
          <cell r="E55" t="str">
            <v>M</v>
          </cell>
          <cell r="F55">
            <v>46</v>
          </cell>
          <cell r="G55" t="str">
            <v>R</v>
          </cell>
          <cell r="H55" t="str">
            <v>Bachelors</v>
          </cell>
          <cell r="I55" t="str">
            <v>VT</v>
          </cell>
          <cell r="J55" t="str">
            <v>Y</v>
          </cell>
          <cell r="K55">
            <v>52000</v>
          </cell>
        </row>
        <row r="56">
          <cell r="B56">
            <v>1048</v>
          </cell>
          <cell r="C56" t="str">
            <v>Johnston</v>
          </cell>
          <cell r="D56" t="str">
            <v>Paul A.</v>
          </cell>
          <cell r="E56" t="str">
            <v>M</v>
          </cell>
          <cell r="F56">
            <v>39</v>
          </cell>
          <cell r="G56" t="str">
            <v>D</v>
          </cell>
          <cell r="H56" t="str">
            <v>Bachelors</v>
          </cell>
          <cell r="I56" t="str">
            <v>RI</v>
          </cell>
          <cell r="J56" t="str">
            <v>Y</v>
          </cell>
          <cell r="K56">
            <v>69000</v>
          </cell>
        </row>
        <row r="57">
          <cell r="B57">
            <v>1049</v>
          </cell>
          <cell r="C57" t="str">
            <v>Kane</v>
          </cell>
          <cell r="D57" t="str">
            <v>Jane H.</v>
          </cell>
          <cell r="E57" t="str">
            <v>F</v>
          </cell>
          <cell r="F57">
            <v>40</v>
          </cell>
          <cell r="G57" t="str">
            <v>R</v>
          </cell>
          <cell r="H57" t="str">
            <v>High School</v>
          </cell>
          <cell r="I57" t="str">
            <v>RI</v>
          </cell>
          <cell r="J57" t="str">
            <v>Y</v>
          </cell>
          <cell r="K57">
            <v>29000</v>
          </cell>
        </row>
        <row r="58">
          <cell r="B58">
            <v>1050</v>
          </cell>
          <cell r="C58" t="str">
            <v>Lambert</v>
          </cell>
          <cell r="D58" t="str">
            <v>Pauline</v>
          </cell>
          <cell r="E58" t="str">
            <v>F</v>
          </cell>
          <cell r="F58">
            <v>55</v>
          </cell>
          <cell r="G58" t="str">
            <v>D</v>
          </cell>
          <cell r="H58" t="str">
            <v>High School</v>
          </cell>
          <cell r="I58" t="str">
            <v>CT</v>
          </cell>
          <cell r="J58" t="str">
            <v>Y</v>
          </cell>
          <cell r="K58">
            <v>64000</v>
          </cell>
        </row>
        <row r="59">
          <cell r="B59">
            <v>1051</v>
          </cell>
          <cell r="C59" t="str">
            <v>Leighton</v>
          </cell>
          <cell r="D59" t="str">
            <v>Martha B.</v>
          </cell>
          <cell r="E59" t="str">
            <v>F</v>
          </cell>
          <cell r="F59">
            <v>20</v>
          </cell>
          <cell r="G59" t="str">
            <v>D</v>
          </cell>
          <cell r="H59" t="str">
            <v>Bachelors</v>
          </cell>
          <cell r="I59" t="str">
            <v>RI</v>
          </cell>
          <cell r="J59" t="str">
            <v>N</v>
          </cell>
          <cell r="K59">
            <v>18000</v>
          </cell>
        </row>
        <row r="60">
          <cell r="B60">
            <v>1052</v>
          </cell>
          <cell r="C60" t="str">
            <v>Martens</v>
          </cell>
          <cell r="D60" t="str">
            <v>Fay A.</v>
          </cell>
          <cell r="E60" t="str">
            <v>F</v>
          </cell>
          <cell r="F60">
            <v>34</v>
          </cell>
          <cell r="G60" t="str">
            <v>U</v>
          </cell>
          <cell r="H60" t="str">
            <v>Post Grad</v>
          </cell>
          <cell r="I60" t="str">
            <v>ME</v>
          </cell>
          <cell r="J60" t="str">
            <v>Y</v>
          </cell>
          <cell r="K60">
            <v>65000</v>
          </cell>
        </row>
        <row r="61">
          <cell r="B61">
            <v>1053</v>
          </cell>
          <cell r="C61" t="str">
            <v>Mason</v>
          </cell>
          <cell r="D61" t="str">
            <v>Anne</v>
          </cell>
          <cell r="E61" t="str">
            <v>F</v>
          </cell>
          <cell r="F61">
            <v>24</v>
          </cell>
          <cell r="G61" t="str">
            <v>U</v>
          </cell>
          <cell r="H61" t="str">
            <v>High School</v>
          </cell>
          <cell r="I61" t="str">
            <v>CT</v>
          </cell>
          <cell r="J61" t="str">
            <v>Y</v>
          </cell>
          <cell r="K61">
            <v>47000</v>
          </cell>
        </row>
        <row r="62">
          <cell r="B62">
            <v>1054</v>
          </cell>
          <cell r="C62" t="str">
            <v>Mathews</v>
          </cell>
          <cell r="D62" t="str">
            <v>Robert R.</v>
          </cell>
          <cell r="E62" t="str">
            <v>M</v>
          </cell>
          <cell r="F62">
            <v>51</v>
          </cell>
          <cell r="G62" t="str">
            <v>D</v>
          </cell>
          <cell r="H62" t="str">
            <v>Associates</v>
          </cell>
          <cell r="I62" t="str">
            <v>CT</v>
          </cell>
          <cell r="J62" t="str">
            <v>N</v>
          </cell>
          <cell r="K62">
            <v>20000</v>
          </cell>
        </row>
        <row r="63">
          <cell r="B63">
            <v>1055</v>
          </cell>
          <cell r="C63" t="str">
            <v>Mathews</v>
          </cell>
          <cell r="D63" t="str">
            <v>Judith L.</v>
          </cell>
          <cell r="E63" t="str">
            <v>F</v>
          </cell>
          <cell r="F63">
            <v>68</v>
          </cell>
          <cell r="G63" t="str">
            <v>R</v>
          </cell>
          <cell r="H63" t="str">
            <v>Bachelors</v>
          </cell>
          <cell r="I63" t="str">
            <v>ME</v>
          </cell>
          <cell r="J63" t="str">
            <v>Y</v>
          </cell>
          <cell r="K63">
            <v>84000</v>
          </cell>
        </row>
        <row r="64">
          <cell r="B64">
            <v>1056</v>
          </cell>
          <cell r="C64" t="str">
            <v>Mckenzie</v>
          </cell>
          <cell r="D64" t="str">
            <v>Joan S.</v>
          </cell>
          <cell r="E64" t="str">
            <v>F</v>
          </cell>
          <cell r="F64">
            <v>21</v>
          </cell>
          <cell r="G64" t="str">
            <v>R</v>
          </cell>
          <cell r="H64" t="str">
            <v>High School</v>
          </cell>
          <cell r="I64" t="str">
            <v>MA</v>
          </cell>
          <cell r="J64" t="str">
            <v>N</v>
          </cell>
          <cell r="K64">
            <v>19000</v>
          </cell>
        </row>
        <row r="65">
          <cell r="B65">
            <v>1057</v>
          </cell>
          <cell r="C65" t="str">
            <v>Mckenzie</v>
          </cell>
          <cell r="D65" t="str">
            <v>Patricia R.</v>
          </cell>
          <cell r="E65" t="str">
            <v>F</v>
          </cell>
          <cell r="F65">
            <v>75</v>
          </cell>
          <cell r="G65" t="str">
            <v>D</v>
          </cell>
          <cell r="H65" t="str">
            <v>Associates</v>
          </cell>
          <cell r="I65" t="str">
            <v>NH</v>
          </cell>
          <cell r="J65" t="str">
            <v>Y</v>
          </cell>
          <cell r="K65">
            <v>31000</v>
          </cell>
        </row>
        <row r="66">
          <cell r="B66">
            <v>1058</v>
          </cell>
          <cell r="C66" t="str">
            <v>Mittel</v>
          </cell>
          <cell r="D66" t="str">
            <v>Susan M.</v>
          </cell>
          <cell r="E66" t="str">
            <v>F</v>
          </cell>
          <cell r="F66">
            <v>34</v>
          </cell>
          <cell r="G66" t="str">
            <v>D</v>
          </cell>
          <cell r="H66" t="str">
            <v>High School</v>
          </cell>
          <cell r="I66" t="str">
            <v>MA</v>
          </cell>
          <cell r="J66" t="str">
            <v>Y</v>
          </cell>
          <cell r="K66">
            <v>63000</v>
          </cell>
        </row>
        <row r="67">
          <cell r="B67">
            <v>1059</v>
          </cell>
          <cell r="C67" t="str">
            <v>Montague</v>
          </cell>
          <cell r="D67" t="str">
            <v>Beverly J.</v>
          </cell>
          <cell r="E67" t="str">
            <v>F</v>
          </cell>
          <cell r="F67">
            <v>55</v>
          </cell>
          <cell r="G67" t="str">
            <v>U</v>
          </cell>
          <cell r="H67" t="str">
            <v>Post Grad</v>
          </cell>
          <cell r="I67" t="str">
            <v>MA</v>
          </cell>
          <cell r="J67" t="str">
            <v>Y</v>
          </cell>
          <cell r="K67">
            <v>54000</v>
          </cell>
        </row>
        <row r="68">
          <cell r="B68">
            <v>1060</v>
          </cell>
          <cell r="C68" t="str">
            <v>Nazzaro</v>
          </cell>
          <cell r="D68" t="str">
            <v>Arthur G. Jr</v>
          </cell>
          <cell r="E68" t="str">
            <v>M</v>
          </cell>
          <cell r="F68">
            <v>65</v>
          </cell>
          <cell r="G68" t="str">
            <v>U</v>
          </cell>
          <cell r="H68" t="str">
            <v>Bachelors</v>
          </cell>
          <cell r="I68" t="str">
            <v>CT</v>
          </cell>
          <cell r="J68" t="str">
            <v>N</v>
          </cell>
          <cell r="K68">
            <v>16000</v>
          </cell>
        </row>
        <row r="69">
          <cell r="B69">
            <v>1061</v>
          </cell>
          <cell r="C69" t="str">
            <v>Nazzaro</v>
          </cell>
          <cell r="D69" t="str">
            <v>Christine M.</v>
          </cell>
          <cell r="E69" t="str">
            <v>F</v>
          </cell>
          <cell r="F69">
            <v>51</v>
          </cell>
          <cell r="G69" t="str">
            <v>U</v>
          </cell>
          <cell r="H69" t="str">
            <v>Bachelors</v>
          </cell>
          <cell r="I69" t="str">
            <v>NH</v>
          </cell>
          <cell r="J69" t="str">
            <v>Y</v>
          </cell>
          <cell r="K69">
            <v>25000</v>
          </cell>
        </row>
        <row r="70">
          <cell r="B70">
            <v>1062</v>
          </cell>
          <cell r="C70" t="str">
            <v>Norton</v>
          </cell>
          <cell r="D70" t="str">
            <v>Judith I.</v>
          </cell>
          <cell r="E70" t="str">
            <v>F</v>
          </cell>
          <cell r="F70">
            <v>28</v>
          </cell>
          <cell r="G70" t="str">
            <v>R</v>
          </cell>
          <cell r="H70" t="str">
            <v>Associates</v>
          </cell>
          <cell r="I70" t="str">
            <v>ME</v>
          </cell>
          <cell r="J70" t="str">
            <v>Y</v>
          </cell>
          <cell r="K70">
            <v>85000</v>
          </cell>
        </row>
        <row r="71">
          <cell r="B71">
            <v>1063</v>
          </cell>
          <cell r="C71" t="str">
            <v>O'Brien</v>
          </cell>
          <cell r="D71" t="str">
            <v>Joseph A.</v>
          </cell>
          <cell r="E71" t="str">
            <v>M</v>
          </cell>
          <cell r="F71">
            <v>84</v>
          </cell>
          <cell r="G71" t="str">
            <v>R</v>
          </cell>
          <cell r="H71" t="str">
            <v>Bachelors</v>
          </cell>
          <cell r="I71" t="str">
            <v>NH</v>
          </cell>
          <cell r="J71" t="str">
            <v>N</v>
          </cell>
          <cell r="K71">
            <v>97000</v>
          </cell>
        </row>
        <row r="72">
          <cell r="B72">
            <v>1064</v>
          </cell>
          <cell r="C72" t="str">
            <v>O'Brien</v>
          </cell>
          <cell r="D72" t="str">
            <v>Doris E.</v>
          </cell>
          <cell r="E72" t="str">
            <v>F</v>
          </cell>
          <cell r="F72">
            <v>40</v>
          </cell>
          <cell r="G72" t="str">
            <v>U</v>
          </cell>
          <cell r="H72" t="str">
            <v>High School</v>
          </cell>
          <cell r="I72" t="str">
            <v>RI</v>
          </cell>
          <cell r="J72" t="str">
            <v>Y</v>
          </cell>
          <cell r="K72">
            <v>30000</v>
          </cell>
        </row>
        <row r="73">
          <cell r="B73">
            <v>1065</v>
          </cell>
          <cell r="C73" t="str">
            <v>Oliver</v>
          </cell>
          <cell r="D73" t="str">
            <v>Ann P.</v>
          </cell>
          <cell r="E73" t="str">
            <v>F</v>
          </cell>
          <cell r="F73">
            <v>20</v>
          </cell>
          <cell r="G73" t="str">
            <v>U</v>
          </cell>
          <cell r="H73" t="str">
            <v>Bachelors</v>
          </cell>
          <cell r="I73" t="str">
            <v>MA</v>
          </cell>
          <cell r="J73" t="str">
            <v>Y</v>
          </cell>
          <cell r="K73">
            <v>54000</v>
          </cell>
        </row>
        <row r="74">
          <cell r="B74">
            <v>1066</v>
          </cell>
          <cell r="C74" t="str">
            <v>Payson</v>
          </cell>
          <cell r="D74" t="str">
            <v>Richard A.</v>
          </cell>
          <cell r="E74" t="str">
            <v>M</v>
          </cell>
          <cell r="F74">
            <v>69</v>
          </cell>
          <cell r="G74" t="str">
            <v>D</v>
          </cell>
          <cell r="H74" t="str">
            <v>Associates</v>
          </cell>
          <cell r="I74" t="str">
            <v>ME</v>
          </cell>
          <cell r="J74" t="str">
            <v>Y</v>
          </cell>
          <cell r="K74">
            <v>58000</v>
          </cell>
        </row>
        <row r="75">
          <cell r="B75">
            <v>1067</v>
          </cell>
          <cell r="C75" t="str">
            <v>Payson</v>
          </cell>
          <cell r="D75" t="str">
            <v>William H.</v>
          </cell>
          <cell r="E75" t="str">
            <v>M</v>
          </cell>
          <cell r="F75">
            <v>78</v>
          </cell>
          <cell r="G75" t="str">
            <v>D</v>
          </cell>
          <cell r="H75" t="str">
            <v>High School</v>
          </cell>
          <cell r="I75" t="str">
            <v>NH</v>
          </cell>
          <cell r="J75" t="str">
            <v>Y</v>
          </cell>
          <cell r="K75">
            <v>36000</v>
          </cell>
        </row>
        <row r="76">
          <cell r="B76">
            <v>1068</v>
          </cell>
          <cell r="C76" t="str">
            <v>Peaslee</v>
          </cell>
          <cell r="D76" t="str">
            <v>Thomas B.A. Jr</v>
          </cell>
          <cell r="E76" t="str">
            <v>M</v>
          </cell>
          <cell r="F76">
            <v>30</v>
          </cell>
          <cell r="G76" t="str">
            <v>D</v>
          </cell>
          <cell r="H76" t="str">
            <v>Bachelors</v>
          </cell>
          <cell r="I76" t="str">
            <v>MA</v>
          </cell>
          <cell r="J76" t="str">
            <v>Y</v>
          </cell>
          <cell r="K76">
            <v>55000</v>
          </cell>
        </row>
        <row r="77">
          <cell r="B77">
            <v>1069</v>
          </cell>
          <cell r="C77" t="str">
            <v>Ramee</v>
          </cell>
          <cell r="D77" t="str">
            <v>Kathryn L.</v>
          </cell>
          <cell r="E77" t="str">
            <v>F</v>
          </cell>
          <cell r="F77">
            <v>43</v>
          </cell>
          <cell r="G77" t="str">
            <v>R</v>
          </cell>
          <cell r="H77" t="str">
            <v>Bachelors</v>
          </cell>
          <cell r="I77" t="str">
            <v>NH</v>
          </cell>
          <cell r="J77" t="str">
            <v>Y</v>
          </cell>
          <cell r="K77">
            <v>67000</v>
          </cell>
        </row>
        <row r="78">
          <cell r="B78">
            <v>1070</v>
          </cell>
          <cell r="C78" t="str">
            <v>Ramee</v>
          </cell>
          <cell r="D78" t="str">
            <v>Ernest E. Sr</v>
          </cell>
          <cell r="E78" t="str">
            <v>M</v>
          </cell>
          <cell r="F78">
            <v>40</v>
          </cell>
          <cell r="G78" t="str">
            <v>U</v>
          </cell>
          <cell r="H78" t="str">
            <v>Post Grad</v>
          </cell>
          <cell r="I78" t="str">
            <v>RI</v>
          </cell>
          <cell r="J78" t="str">
            <v>N</v>
          </cell>
          <cell r="K78">
            <v>68000</v>
          </cell>
        </row>
        <row r="79">
          <cell r="B79">
            <v>1071</v>
          </cell>
          <cell r="C79" t="str">
            <v>Raymond</v>
          </cell>
          <cell r="D79" t="str">
            <v>Arnold F.</v>
          </cell>
          <cell r="E79" t="str">
            <v>M</v>
          </cell>
          <cell r="F79">
            <v>73</v>
          </cell>
          <cell r="G79" t="str">
            <v>U</v>
          </cell>
          <cell r="H79" t="str">
            <v>Post Grad</v>
          </cell>
          <cell r="I79" t="str">
            <v>CT</v>
          </cell>
          <cell r="J79" t="str">
            <v>N</v>
          </cell>
          <cell r="K79">
            <v>19000</v>
          </cell>
        </row>
        <row r="80">
          <cell r="B80">
            <v>1072</v>
          </cell>
          <cell r="C80" t="str">
            <v>Raymond</v>
          </cell>
          <cell r="D80" t="str">
            <v>Charles R.</v>
          </cell>
          <cell r="E80" t="str">
            <v>M</v>
          </cell>
          <cell r="F80">
            <v>25</v>
          </cell>
          <cell r="G80" t="str">
            <v>U</v>
          </cell>
          <cell r="H80" t="str">
            <v>Bachelors</v>
          </cell>
          <cell r="I80" t="str">
            <v>MA</v>
          </cell>
          <cell r="J80" t="str">
            <v>Y</v>
          </cell>
          <cell r="K80">
            <v>36000</v>
          </cell>
        </row>
        <row r="81">
          <cell r="B81">
            <v>1073</v>
          </cell>
          <cell r="C81" t="str">
            <v>Rolfe</v>
          </cell>
          <cell r="D81" t="str">
            <v>Laurence D.</v>
          </cell>
          <cell r="E81" t="str">
            <v>M</v>
          </cell>
          <cell r="F81">
            <v>47</v>
          </cell>
          <cell r="G81" t="str">
            <v>R</v>
          </cell>
          <cell r="H81" t="str">
            <v>High School</v>
          </cell>
          <cell r="I81" t="str">
            <v>CT</v>
          </cell>
          <cell r="J81" t="str">
            <v>Y</v>
          </cell>
          <cell r="K81">
            <v>56000</v>
          </cell>
        </row>
        <row r="82">
          <cell r="B82">
            <v>1074</v>
          </cell>
          <cell r="C82" t="str">
            <v>Rolfe</v>
          </cell>
          <cell r="D82" t="str">
            <v>James H.</v>
          </cell>
          <cell r="E82" t="str">
            <v>M</v>
          </cell>
          <cell r="F82">
            <v>20</v>
          </cell>
          <cell r="G82" t="str">
            <v>R</v>
          </cell>
          <cell r="H82" t="str">
            <v>Associates</v>
          </cell>
          <cell r="I82" t="str">
            <v>NH</v>
          </cell>
          <cell r="J82" t="str">
            <v>Y</v>
          </cell>
          <cell r="K82">
            <v>43000</v>
          </cell>
        </row>
        <row r="83">
          <cell r="B83">
            <v>1075</v>
          </cell>
          <cell r="C83" t="str">
            <v>Rowen</v>
          </cell>
          <cell r="D83" t="str">
            <v>William I.</v>
          </cell>
          <cell r="E83" t="str">
            <v>M</v>
          </cell>
          <cell r="F83">
            <v>52</v>
          </cell>
          <cell r="G83" t="str">
            <v>D</v>
          </cell>
          <cell r="H83" t="str">
            <v>Bachelors</v>
          </cell>
          <cell r="I83" t="str">
            <v>ME</v>
          </cell>
          <cell r="J83" t="str">
            <v>N</v>
          </cell>
          <cell r="K83">
            <v>36000</v>
          </cell>
        </row>
        <row r="84">
          <cell r="B84">
            <v>1076</v>
          </cell>
          <cell r="C84" t="str">
            <v>Rowen</v>
          </cell>
          <cell r="D84" t="str">
            <v>Robert E.</v>
          </cell>
          <cell r="E84" t="str">
            <v>M</v>
          </cell>
          <cell r="F84">
            <v>35</v>
          </cell>
          <cell r="G84" t="str">
            <v>D</v>
          </cell>
          <cell r="H84" t="str">
            <v>High School</v>
          </cell>
          <cell r="I84" t="str">
            <v>NH</v>
          </cell>
          <cell r="J84" t="str">
            <v>N</v>
          </cell>
          <cell r="K84">
            <v>38000</v>
          </cell>
        </row>
        <row r="85">
          <cell r="B85">
            <v>1077</v>
          </cell>
          <cell r="C85" t="str">
            <v>Seely</v>
          </cell>
          <cell r="D85" t="str">
            <v>I.Benjamin</v>
          </cell>
          <cell r="E85" t="str">
            <v>M</v>
          </cell>
          <cell r="F85">
            <v>18</v>
          </cell>
          <cell r="G85" t="str">
            <v>R</v>
          </cell>
          <cell r="H85" t="str">
            <v>Associates</v>
          </cell>
          <cell r="I85" t="str">
            <v>ME</v>
          </cell>
          <cell r="J85" t="str">
            <v>N</v>
          </cell>
          <cell r="K85">
            <v>47000</v>
          </cell>
        </row>
        <row r="86">
          <cell r="B86">
            <v>1078</v>
          </cell>
          <cell r="C86" t="str">
            <v>Snow</v>
          </cell>
          <cell r="D86" t="str">
            <v>William T.</v>
          </cell>
          <cell r="E86" t="str">
            <v>M</v>
          </cell>
          <cell r="F86">
            <v>57</v>
          </cell>
          <cell r="G86" t="str">
            <v>D</v>
          </cell>
          <cell r="H86" t="str">
            <v>High School</v>
          </cell>
          <cell r="I86" t="str">
            <v>NH</v>
          </cell>
          <cell r="J86" t="str">
            <v>N</v>
          </cell>
          <cell r="K86">
            <v>13000</v>
          </cell>
        </row>
        <row r="87">
          <cell r="B87">
            <v>1079</v>
          </cell>
          <cell r="C87" t="str">
            <v>Spaulding</v>
          </cell>
          <cell r="D87" t="str">
            <v>Susan J.M.</v>
          </cell>
          <cell r="E87" t="str">
            <v>F</v>
          </cell>
          <cell r="F87">
            <v>36</v>
          </cell>
          <cell r="G87" t="str">
            <v>D</v>
          </cell>
          <cell r="H87" t="str">
            <v>Post Grad</v>
          </cell>
          <cell r="I87" t="str">
            <v>CT</v>
          </cell>
          <cell r="J87" t="str">
            <v>Y</v>
          </cell>
          <cell r="K87">
            <v>71000</v>
          </cell>
        </row>
        <row r="88">
          <cell r="B88">
            <v>1080</v>
          </cell>
          <cell r="C88" t="str">
            <v>St.Pierre</v>
          </cell>
          <cell r="D88" t="str">
            <v>Edward L. Jr</v>
          </cell>
          <cell r="E88" t="str">
            <v>M</v>
          </cell>
          <cell r="F88">
            <v>41</v>
          </cell>
          <cell r="G88" t="str">
            <v>U</v>
          </cell>
          <cell r="H88" t="str">
            <v>High School</v>
          </cell>
          <cell r="I88" t="str">
            <v>CT</v>
          </cell>
          <cell r="J88" t="str">
            <v>N</v>
          </cell>
          <cell r="K88">
            <v>40000</v>
          </cell>
        </row>
        <row r="89">
          <cell r="B89">
            <v>1081</v>
          </cell>
          <cell r="C89" t="str">
            <v>St.Pierre</v>
          </cell>
          <cell r="D89" t="str">
            <v>Mavis N.</v>
          </cell>
          <cell r="E89" t="str">
            <v>F</v>
          </cell>
          <cell r="F89">
            <v>72</v>
          </cell>
          <cell r="G89" t="str">
            <v>D</v>
          </cell>
          <cell r="H89" t="str">
            <v>Bachelors</v>
          </cell>
          <cell r="I89" t="str">
            <v>MA</v>
          </cell>
          <cell r="J89" t="str">
            <v>N</v>
          </cell>
          <cell r="K89">
            <v>31000</v>
          </cell>
        </row>
        <row r="90">
          <cell r="B90">
            <v>1082</v>
          </cell>
          <cell r="C90" t="str">
            <v>Stackhouse</v>
          </cell>
          <cell r="D90" t="str">
            <v>Jane H.</v>
          </cell>
          <cell r="E90" t="str">
            <v>F</v>
          </cell>
          <cell r="F90">
            <v>40</v>
          </cell>
          <cell r="G90" t="str">
            <v>R</v>
          </cell>
          <cell r="H90" t="str">
            <v>Associates</v>
          </cell>
          <cell r="I90" t="str">
            <v>CT</v>
          </cell>
          <cell r="J90" t="str">
            <v>Y</v>
          </cell>
          <cell r="K90">
            <v>50000</v>
          </cell>
        </row>
        <row r="91">
          <cell r="B91">
            <v>1083</v>
          </cell>
          <cell r="C91" t="str">
            <v>Stackhouse</v>
          </cell>
          <cell r="D91" t="str">
            <v>William S.</v>
          </cell>
          <cell r="E91" t="str">
            <v>M</v>
          </cell>
          <cell r="F91">
            <v>48</v>
          </cell>
          <cell r="G91" t="str">
            <v>D</v>
          </cell>
          <cell r="H91" t="str">
            <v>High School</v>
          </cell>
          <cell r="I91" t="str">
            <v>RI</v>
          </cell>
          <cell r="J91" t="str">
            <v>N</v>
          </cell>
          <cell r="K91">
            <v>21000</v>
          </cell>
        </row>
        <row r="92">
          <cell r="B92">
            <v>1084</v>
          </cell>
          <cell r="C92" t="str">
            <v>Staples</v>
          </cell>
          <cell r="D92" t="str">
            <v>Edmund F. Jr</v>
          </cell>
          <cell r="E92" t="str">
            <v>M</v>
          </cell>
          <cell r="F92">
            <v>25</v>
          </cell>
          <cell r="G92" t="str">
            <v>U</v>
          </cell>
          <cell r="H92" t="str">
            <v>Bachelors</v>
          </cell>
          <cell r="I92" t="str">
            <v>CT</v>
          </cell>
          <cell r="J92" t="str">
            <v>Y</v>
          </cell>
          <cell r="K92">
            <v>79000</v>
          </cell>
        </row>
        <row r="93">
          <cell r="B93">
            <v>1085</v>
          </cell>
          <cell r="C93" t="str">
            <v>Staples</v>
          </cell>
          <cell r="D93" t="str">
            <v>Louise G.</v>
          </cell>
          <cell r="E93" t="str">
            <v>F</v>
          </cell>
          <cell r="F93">
            <v>35</v>
          </cell>
          <cell r="G93" t="str">
            <v>R</v>
          </cell>
          <cell r="H93" t="str">
            <v>Bachelors</v>
          </cell>
          <cell r="I93" t="str">
            <v>VT</v>
          </cell>
          <cell r="J93" t="str">
            <v>Y</v>
          </cell>
          <cell r="K93">
            <v>41000</v>
          </cell>
        </row>
        <row r="94">
          <cell r="B94">
            <v>1086</v>
          </cell>
          <cell r="C94" t="str">
            <v>Swayze</v>
          </cell>
          <cell r="D94" t="str">
            <v>Marie E.</v>
          </cell>
          <cell r="E94" t="str">
            <v>F</v>
          </cell>
          <cell r="F94">
            <v>48</v>
          </cell>
          <cell r="G94" t="str">
            <v>D</v>
          </cell>
          <cell r="H94" t="str">
            <v>Associates</v>
          </cell>
          <cell r="I94" t="str">
            <v>NH</v>
          </cell>
          <cell r="J94" t="str">
            <v>N</v>
          </cell>
          <cell r="K94">
            <v>18000</v>
          </cell>
        </row>
        <row r="95">
          <cell r="B95">
            <v>1087</v>
          </cell>
          <cell r="C95" t="str">
            <v>Trask</v>
          </cell>
          <cell r="D95" t="str">
            <v>John R.</v>
          </cell>
          <cell r="E95" t="str">
            <v>M</v>
          </cell>
          <cell r="F95">
            <v>80</v>
          </cell>
          <cell r="G95" t="str">
            <v>R</v>
          </cell>
          <cell r="H95" t="str">
            <v>Bachelors</v>
          </cell>
          <cell r="I95" t="str">
            <v>CT</v>
          </cell>
          <cell r="J95" t="str">
            <v>Y</v>
          </cell>
          <cell r="K95">
            <v>46000</v>
          </cell>
        </row>
        <row r="96">
          <cell r="B96">
            <v>1088</v>
          </cell>
          <cell r="C96" t="str">
            <v>Tukey</v>
          </cell>
          <cell r="D96" t="str">
            <v>Arthur P.</v>
          </cell>
          <cell r="E96" t="str">
            <v>M</v>
          </cell>
          <cell r="F96">
            <v>72</v>
          </cell>
          <cell r="G96" t="str">
            <v>U</v>
          </cell>
          <cell r="H96" t="str">
            <v>Bachelors</v>
          </cell>
          <cell r="I96" t="str">
            <v>VT</v>
          </cell>
          <cell r="J96" t="str">
            <v>Y</v>
          </cell>
          <cell r="K96">
            <v>29000</v>
          </cell>
        </row>
        <row r="97">
          <cell r="B97">
            <v>1089</v>
          </cell>
          <cell r="C97" t="str">
            <v>Twomey</v>
          </cell>
          <cell r="D97" t="str">
            <v>Donald H. Sr</v>
          </cell>
          <cell r="E97" t="str">
            <v>M</v>
          </cell>
          <cell r="F97">
            <v>54</v>
          </cell>
          <cell r="G97" t="str">
            <v>U</v>
          </cell>
          <cell r="H97" t="str">
            <v>Post Grad</v>
          </cell>
          <cell r="I97" t="str">
            <v>MA</v>
          </cell>
          <cell r="J97" t="str">
            <v>Y</v>
          </cell>
          <cell r="K97">
            <v>89000</v>
          </cell>
        </row>
        <row r="98">
          <cell r="B98">
            <v>1090</v>
          </cell>
          <cell r="C98" t="str">
            <v>Wallach</v>
          </cell>
          <cell r="D98" t="str">
            <v>Patricia V.</v>
          </cell>
          <cell r="E98" t="str">
            <v>F</v>
          </cell>
          <cell r="F98">
            <v>47</v>
          </cell>
          <cell r="G98" t="str">
            <v>D</v>
          </cell>
          <cell r="H98" t="str">
            <v>Bachelors</v>
          </cell>
          <cell r="I98" t="str">
            <v>CT</v>
          </cell>
          <cell r="J98" t="str">
            <v>Y</v>
          </cell>
          <cell r="K98">
            <v>72000</v>
          </cell>
        </row>
        <row r="99">
          <cell r="B99">
            <v>1091</v>
          </cell>
          <cell r="C99" t="str">
            <v>Wallach</v>
          </cell>
          <cell r="D99" t="str">
            <v>Ruth A.</v>
          </cell>
          <cell r="E99" t="str">
            <v>F</v>
          </cell>
          <cell r="F99">
            <v>36</v>
          </cell>
          <cell r="G99" t="str">
            <v>D</v>
          </cell>
          <cell r="H99" t="str">
            <v>Associates</v>
          </cell>
          <cell r="I99" t="str">
            <v>RI</v>
          </cell>
          <cell r="J99" t="str">
            <v>Y</v>
          </cell>
          <cell r="K99">
            <v>48000</v>
          </cell>
        </row>
        <row r="100">
          <cell r="B100">
            <v>1092</v>
          </cell>
          <cell r="C100" t="str">
            <v>Ward</v>
          </cell>
          <cell r="D100" t="str">
            <v>Jacqueline J.</v>
          </cell>
          <cell r="E100" t="str">
            <v>F</v>
          </cell>
          <cell r="F100">
            <v>39</v>
          </cell>
          <cell r="G100" t="str">
            <v>R</v>
          </cell>
          <cell r="H100" t="str">
            <v>Bachelors</v>
          </cell>
          <cell r="I100" t="str">
            <v>MA</v>
          </cell>
          <cell r="J100" t="str">
            <v>N</v>
          </cell>
          <cell r="K100">
            <v>43000</v>
          </cell>
        </row>
        <row r="101">
          <cell r="B101">
            <v>1093</v>
          </cell>
          <cell r="C101" t="str">
            <v>Weir</v>
          </cell>
          <cell r="D101" t="str">
            <v>David G.</v>
          </cell>
          <cell r="E101" t="str">
            <v>M</v>
          </cell>
          <cell r="F101">
            <v>44</v>
          </cell>
          <cell r="G101" t="str">
            <v>U</v>
          </cell>
          <cell r="H101" t="str">
            <v>High School</v>
          </cell>
          <cell r="I101" t="str">
            <v>RI</v>
          </cell>
          <cell r="J101" t="str">
            <v>N</v>
          </cell>
          <cell r="K101">
            <v>21000</v>
          </cell>
        </row>
        <row r="102">
          <cell r="B102">
            <v>1094</v>
          </cell>
          <cell r="C102" t="str">
            <v>Whitney</v>
          </cell>
          <cell r="D102" t="str">
            <v>Ann M.</v>
          </cell>
          <cell r="E102" t="str">
            <v>F</v>
          </cell>
          <cell r="F102">
            <v>69</v>
          </cell>
          <cell r="G102" t="str">
            <v>U</v>
          </cell>
          <cell r="H102" t="str">
            <v>Bachelors</v>
          </cell>
          <cell r="I102" t="str">
            <v>MA</v>
          </cell>
          <cell r="J102" t="str">
            <v>Y</v>
          </cell>
          <cell r="K102">
            <v>60000</v>
          </cell>
        </row>
        <row r="103">
          <cell r="B103">
            <v>1095</v>
          </cell>
          <cell r="C103" t="str">
            <v>Wood</v>
          </cell>
          <cell r="D103" t="str">
            <v>Annie D.</v>
          </cell>
          <cell r="E103" t="str">
            <v>F</v>
          </cell>
          <cell r="F103">
            <v>64</v>
          </cell>
          <cell r="G103" t="str">
            <v>U</v>
          </cell>
          <cell r="H103" t="str">
            <v>High School</v>
          </cell>
          <cell r="I103" t="str">
            <v>MA</v>
          </cell>
          <cell r="J103" t="str">
            <v>N</v>
          </cell>
          <cell r="K103">
            <v>32000</v>
          </cell>
        </row>
        <row r="104">
          <cell r="B104">
            <v>1096</v>
          </cell>
          <cell r="C104" t="str">
            <v>Wood</v>
          </cell>
          <cell r="D104" t="str">
            <v>Delores A.</v>
          </cell>
          <cell r="E104" t="str">
            <v>F</v>
          </cell>
          <cell r="F104">
            <v>72</v>
          </cell>
          <cell r="G104" t="str">
            <v>U</v>
          </cell>
          <cell r="H104" t="str">
            <v>High School</v>
          </cell>
          <cell r="I104" t="str">
            <v>VT</v>
          </cell>
          <cell r="J104" t="str">
            <v>N</v>
          </cell>
          <cell r="K104">
            <v>12000</v>
          </cell>
        </row>
        <row r="105">
          <cell r="B105">
            <v>1097</v>
          </cell>
          <cell r="C105" t="str">
            <v>York</v>
          </cell>
          <cell r="D105" t="str">
            <v>Thelma M.</v>
          </cell>
          <cell r="E105" t="str">
            <v>F</v>
          </cell>
          <cell r="F105">
            <v>57</v>
          </cell>
          <cell r="G105" t="str">
            <v>D</v>
          </cell>
          <cell r="H105" t="str">
            <v>High School</v>
          </cell>
          <cell r="I105" t="str">
            <v>MA</v>
          </cell>
          <cell r="J105" t="str">
            <v>Y</v>
          </cell>
          <cell r="K105">
            <v>59000</v>
          </cell>
        </row>
        <row r="106">
          <cell r="B106">
            <v>1098</v>
          </cell>
          <cell r="C106" t="str">
            <v>Young</v>
          </cell>
          <cell r="D106" t="str">
            <v>Robert H</v>
          </cell>
          <cell r="E106" t="str">
            <v>M</v>
          </cell>
          <cell r="F106">
            <v>45</v>
          </cell>
          <cell r="G106" t="str">
            <v>D</v>
          </cell>
          <cell r="H106" t="str">
            <v>Associates</v>
          </cell>
          <cell r="I106" t="str">
            <v>MA</v>
          </cell>
          <cell r="J106" t="str">
            <v>N</v>
          </cell>
          <cell r="K106">
            <v>19000</v>
          </cell>
        </row>
        <row r="107">
          <cell r="B107">
            <v>1099</v>
          </cell>
          <cell r="C107" t="str">
            <v>Zimmerman</v>
          </cell>
          <cell r="D107" t="str">
            <v>Thelonius</v>
          </cell>
          <cell r="E107" t="str">
            <v>M</v>
          </cell>
          <cell r="F107">
            <v>52</v>
          </cell>
          <cell r="G107" t="str">
            <v>D</v>
          </cell>
          <cell r="H107" t="str">
            <v>Post Grad</v>
          </cell>
          <cell r="I107" t="str">
            <v>ME</v>
          </cell>
          <cell r="J107" t="str">
            <v>Y</v>
          </cell>
          <cell r="K107">
            <v>51000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2"/>
      <sheetName val="Did you know"/>
      <sheetName val="Fixing Annoyances Full Menus"/>
      <sheetName val="Fixing Annoyances PT Formulas"/>
      <sheetName val="Custom Numeric Formatting"/>
      <sheetName val="Conditional Formatting Tricks"/>
      <sheetName val="Dynamic Ranges"/>
      <sheetName val="Dynamic Ranges and Charts"/>
      <sheetName val="Charts with Custom Symbols"/>
      <sheetName val="Creating Simple UIs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5">
          <cell r="B5" t="str">
            <v>Name</v>
          </cell>
        </row>
      </sheetData>
      <sheetData sheetId="7" refreshError="1">
        <row r="5">
          <cell r="B5" t="str">
            <v>Name</v>
          </cell>
        </row>
        <row r="6">
          <cell r="B6" t="str">
            <v>fred</v>
          </cell>
        </row>
        <row r="7">
          <cell r="B7" t="str">
            <v>jim</v>
          </cell>
        </row>
        <row r="8">
          <cell r="B8" t="str">
            <v>sally</v>
          </cell>
        </row>
        <row r="9">
          <cell r="B9" t="str">
            <v>peggy</v>
          </cell>
        </row>
        <row r="10">
          <cell r="B10" t="str">
            <v>deep</v>
          </cell>
        </row>
        <row r="11">
          <cell r="B11" t="str">
            <v>chris</v>
          </cell>
        </row>
        <row r="29">
          <cell r="B29" t="str">
            <v>Date</v>
          </cell>
        </row>
        <row r="30">
          <cell r="B30">
            <v>37987</v>
          </cell>
          <cell r="D30">
            <v>14</v>
          </cell>
        </row>
        <row r="31">
          <cell r="B31">
            <v>37988</v>
          </cell>
        </row>
        <row r="32">
          <cell r="B32">
            <v>37989</v>
          </cell>
        </row>
        <row r="33">
          <cell r="B33">
            <v>37990</v>
          </cell>
        </row>
        <row r="34">
          <cell r="B34">
            <v>37991</v>
          </cell>
        </row>
        <row r="35">
          <cell r="B35">
            <v>37992</v>
          </cell>
        </row>
        <row r="36">
          <cell r="B36">
            <v>37993</v>
          </cell>
        </row>
        <row r="37">
          <cell r="B37">
            <v>37994</v>
          </cell>
        </row>
        <row r="38">
          <cell r="B38">
            <v>37995</v>
          </cell>
        </row>
        <row r="39">
          <cell r="B39">
            <v>37996</v>
          </cell>
        </row>
        <row r="40">
          <cell r="B40">
            <v>37997</v>
          </cell>
        </row>
        <row r="41">
          <cell r="B41">
            <v>37998</v>
          </cell>
        </row>
        <row r="42">
          <cell r="B42">
            <v>37999</v>
          </cell>
        </row>
        <row r="43">
          <cell r="B43">
            <v>38000</v>
          </cell>
        </row>
        <row r="44">
          <cell r="B44">
            <v>38001</v>
          </cell>
        </row>
        <row r="45">
          <cell r="B45">
            <v>38002</v>
          </cell>
        </row>
        <row r="46">
          <cell r="B46">
            <v>38003</v>
          </cell>
        </row>
        <row r="47">
          <cell r="B47">
            <v>38004</v>
          </cell>
        </row>
        <row r="48">
          <cell r="B48">
            <v>38005</v>
          </cell>
        </row>
        <row r="49">
          <cell r="B49">
            <v>38006</v>
          </cell>
        </row>
        <row r="50">
          <cell r="B50">
            <v>38007</v>
          </cell>
        </row>
        <row r="51">
          <cell r="B51">
            <v>38008</v>
          </cell>
        </row>
        <row r="52">
          <cell r="B52">
            <v>38009</v>
          </cell>
        </row>
        <row r="53">
          <cell r="B53">
            <v>38010</v>
          </cell>
        </row>
        <row r="54">
          <cell r="B54">
            <v>38011</v>
          </cell>
        </row>
        <row r="55">
          <cell r="B55">
            <v>38012</v>
          </cell>
        </row>
        <row r="56">
          <cell r="B56">
            <v>38013</v>
          </cell>
        </row>
        <row r="57">
          <cell r="B57">
            <v>38014</v>
          </cell>
        </row>
        <row r="58">
          <cell r="B58">
            <v>38015</v>
          </cell>
        </row>
        <row r="59">
          <cell r="B59">
            <v>38016</v>
          </cell>
        </row>
        <row r="60">
          <cell r="B60">
            <v>38017</v>
          </cell>
        </row>
        <row r="61">
          <cell r="B61">
            <v>38018</v>
          </cell>
        </row>
        <row r="62">
          <cell r="B62">
            <v>38019</v>
          </cell>
        </row>
        <row r="63">
          <cell r="B63">
            <v>38020</v>
          </cell>
        </row>
        <row r="64">
          <cell r="B64">
            <v>38021</v>
          </cell>
        </row>
        <row r="65">
          <cell r="B65">
            <v>38022</v>
          </cell>
        </row>
        <row r="66">
          <cell r="B66">
            <v>38023</v>
          </cell>
        </row>
        <row r="67">
          <cell r="B67">
            <v>38024</v>
          </cell>
        </row>
        <row r="68">
          <cell r="B68">
            <v>38025</v>
          </cell>
        </row>
        <row r="69">
          <cell r="B69">
            <v>38026</v>
          </cell>
        </row>
        <row r="70">
          <cell r="B70">
            <v>38027</v>
          </cell>
        </row>
        <row r="71">
          <cell r="B71">
            <v>38028</v>
          </cell>
        </row>
        <row r="72">
          <cell r="B72">
            <v>38029</v>
          </cell>
        </row>
        <row r="73">
          <cell r="B73">
            <v>38030</v>
          </cell>
        </row>
        <row r="74">
          <cell r="B74">
            <v>38031</v>
          </cell>
        </row>
        <row r="75">
          <cell r="B75">
            <v>38032</v>
          </cell>
        </row>
        <row r="76">
          <cell r="B76">
            <v>38033</v>
          </cell>
        </row>
        <row r="77">
          <cell r="B77">
            <v>38034</v>
          </cell>
        </row>
        <row r="78">
          <cell r="B78">
            <v>38035</v>
          </cell>
        </row>
        <row r="79">
          <cell r="B79">
            <v>38036</v>
          </cell>
        </row>
        <row r="80">
          <cell r="B80">
            <v>38037</v>
          </cell>
        </row>
        <row r="81">
          <cell r="B81">
            <v>38038</v>
          </cell>
        </row>
        <row r="82">
          <cell r="B82">
            <v>38039</v>
          </cell>
        </row>
        <row r="83">
          <cell r="B83">
            <v>38040</v>
          </cell>
        </row>
        <row r="84">
          <cell r="B84">
            <v>38041</v>
          </cell>
        </row>
        <row r="85">
          <cell r="B85">
            <v>38042</v>
          </cell>
        </row>
        <row r="86">
          <cell r="B86">
            <v>38043</v>
          </cell>
        </row>
        <row r="87">
          <cell r="B87">
            <v>38044</v>
          </cell>
        </row>
        <row r="88">
          <cell r="B88">
            <v>38045</v>
          </cell>
        </row>
        <row r="89">
          <cell r="B89">
            <v>38046</v>
          </cell>
        </row>
        <row r="90">
          <cell r="B90">
            <v>38047</v>
          </cell>
        </row>
        <row r="91">
          <cell r="B91">
            <v>38048</v>
          </cell>
        </row>
        <row r="92">
          <cell r="B92">
            <v>38049</v>
          </cell>
        </row>
        <row r="93">
          <cell r="B93">
            <v>38050</v>
          </cell>
        </row>
        <row r="94">
          <cell r="B94">
            <v>38051</v>
          </cell>
        </row>
        <row r="95">
          <cell r="B95">
            <v>38052</v>
          </cell>
        </row>
        <row r="96">
          <cell r="B96">
            <v>38053</v>
          </cell>
        </row>
        <row r="97">
          <cell r="B97">
            <v>38054</v>
          </cell>
        </row>
        <row r="98">
          <cell r="B98">
            <v>38055</v>
          </cell>
        </row>
        <row r="99">
          <cell r="B99">
            <v>38056</v>
          </cell>
        </row>
        <row r="100">
          <cell r="B100">
            <v>38057</v>
          </cell>
        </row>
        <row r="101">
          <cell r="B101">
            <v>38058</v>
          </cell>
        </row>
        <row r="102">
          <cell r="B102">
            <v>38059</v>
          </cell>
        </row>
        <row r="103">
          <cell r="B103">
            <v>38060</v>
          </cell>
        </row>
        <row r="104">
          <cell r="B104">
            <v>38061</v>
          </cell>
        </row>
        <row r="105">
          <cell r="B105">
            <v>38062</v>
          </cell>
        </row>
        <row r="106">
          <cell r="B106">
            <v>38063</v>
          </cell>
        </row>
        <row r="107">
          <cell r="B107">
            <v>38064</v>
          </cell>
        </row>
        <row r="108">
          <cell r="B108">
            <v>38065</v>
          </cell>
        </row>
        <row r="109">
          <cell r="B109">
            <v>38066</v>
          </cell>
        </row>
        <row r="110">
          <cell r="B110">
            <v>38067</v>
          </cell>
        </row>
        <row r="111">
          <cell r="B111">
            <v>38068</v>
          </cell>
        </row>
        <row r="112">
          <cell r="B112">
            <v>38069</v>
          </cell>
        </row>
        <row r="113">
          <cell r="B113">
            <v>38070</v>
          </cell>
        </row>
        <row r="114">
          <cell r="B114">
            <v>38071</v>
          </cell>
        </row>
        <row r="115">
          <cell r="B115">
            <v>38072</v>
          </cell>
        </row>
      </sheetData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ormatting"/>
      <sheetName val="SumIF-IFS-"/>
      <sheetName val="Count(if,ifs)"/>
      <sheetName val="Statistical Function"/>
      <sheetName val="Sum,Count,Avg Ex"/>
      <sheetName val="Text Function"/>
      <sheetName val="Text"/>
      <sheetName val="Text Ex"/>
      <sheetName val="IF Ex-1"/>
      <sheetName val="IF Ex-2"/>
      <sheetName val="IF Ex-3"/>
      <sheetName val="IF Ex-4"/>
      <sheetName val="IF Ex-5"/>
      <sheetName val="IF Ex-6"/>
      <sheetName val="Absolute Reference"/>
      <sheetName val="Mixed Cell reference"/>
      <sheetName val="References"/>
      <sheetName val="Vlookup(False)"/>
      <sheetName val="Vlookup-Ex1"/>
      <sheetName val="Vlookup-Ex2"/>
      <sheetName val="Vlookup(True)"/>
      <sheetName val="Vlookup Ex4"/>
      <sheetName val="Vlookup Ex5"/>
      <sheetName val="a"/>
      <sheetName val="b"/>
      <sheetName val="c"/>
      <sheetName val="d"/>
      <sheetName val="Hlookup"/>
      <sheetName val="Hlookup True"/>
      <sheetName val="Multiple "/>
      <sheetName val="Data2"/>
      <sheetName val="Vlookup+Match"/>
      <sheetName val="2-Way Vlookup"/>
      <sheetName val="Index &amp; Match Ex1"/>
      <sheetName val="Sort &amp; Filter"/>
      <sheetName val="Remove Duplicates"/>
      <sheetName val="Remove Duplicates NAMES"/>
      <sheetName val="Filter Ex1"/>
      <sheetName val="Pivot Table Ex2"/>
      <sheetName val="Data (3)"/>
      <sheetName val="Sparklines"/>
      <sheetName val="Data Validation Ex1"/>
      <sheetName val="Data Validation Ex2"/>
      <sheetName val="Data Validation Ex3 "/>
      <sheetName val="Data Validation Ex4"/>
      <sheetName val="Data Validation Ex5"/>
      <sheetName val="CF-Ex-1"/>
      <sheetName val="CF-2"/>
      <sheetName val="CF-3"/>
      <sheetName val="CF_4"/>
      <sheetName val="CF-5"/>
      <sheetName val="Column Chart Ex1"/>
      <sheetName val="Column Chart Ex2"/>
      <sheetName val="Bar Chart"/>
      <sheetName val="Dynamic Chart"/>
      <sheetName val="Line Chart"/>
      <sheetName val="Secondary Axis"/>
      <sheetName val="3D Line chart"/>
      <sheetName val="Area Chart"/>
      <sheetName val="Pie Chart"/>
      <sheetName val="Half-Circle-KPI"/>
      <sheetName val="Progress circle chart KPI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Dashboard"/>
      <sheetName val="Working"/>
      <sheetName val="Data (2)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Solver"/>
      <sheetName val="Group"/>
      <sheetName val="Group Exercise"/>
      <sheetName val="Freeze Pa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>
        <row r="3">
          <cell r="A3" t="str">
            <v>Customer Satisfaction by Age Group</v>
          </cell>
        </row>
      </sheetData>
      <sheetData sheetId="52">
        <row r="4">
          <cell r="B4" t="str">
            <v>Widgets</v>
          </cell>
        </row>
      </sheetData>
      <sheetData sheetId="53">
        <row r="3">
          <cell r="B3" t="str">
            <v>Strongly
Agree</v>
          </cell>
        </row>
      </sheetData>
      <sheetData sheetId="54" refreshError="1"/>
      <sheetData sheetId="55">
        <row r="3">
          <cell r="A3" t="str">
            <v>Daily Sales</v>
          </cell>
        </row>
      </sheetData>
      <sheetData sheetId="56">
        <row r="5">
          <cell r="B5" t="str">
            <v>Industry</v>
          </cell>
        </row>
      </sheetData>
      <sheetData sheetId="57">
        <row r="5">
          <cell r="B5" t="str">
            <v>California</v>
          </cell>
        </row>
      </sheetData>
      <sheetData sheetId="58" refreshError="1"/>
      <sheetData sheetId="59">
        <row r="3">
          <cell r="B3" t="str">
            <v>Number of users</v>
          </cell>
        </row>
      </sheetData>
      <sheetData sheetId="60">
        <row r="1">
          <cell r="A1" t="str">
            <v>Securtiy Level</v>
          </cell>
        </row>
      </sheetData>
      <sheetData sheetId="61">
        <row r="1">
          <cell r="A1" t="str">
            <v>Securtiy Level</v>
          </cell>
        </row>
      </sheetData>
      <sheetData sheetId="62" refreshError="1"/>
      <sheetData sheetId="63" refreshError="1"/>
      <sheetData sheetId="64" refreshError="1"/>
      <sheetData sheetId="65">
        <row r="23">
          <cell r="B23">
            <v>0.753</v>
          </cell>
        </row>
      </sheetData>
      <sheetData sheetId="66">
        <row r="4">
          <cell r="E4">
            <v>10</v>
          </cell>
        </row>
      </sheetData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>
        <row r="8">
          <cell r="C8" t="str">
            <v>Product1</v>
          </cell>
        </row>
      </sheetData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>
        <row r="6">
          <cell r="B6">
            <v>275000</v>
          </cell>
        </row>
      </sheetData>
      <sheetData sheetId="87">
        <row r="4">
          <cell r="B4">
            <v>34</v>
          </cell>
        </row>
        <row r="5">
          <cell r="B5">
            <v>12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Worksheet-1"/>
      <sheetName val="Count"/>
      <sheetName val="Indirect"/>
      <sheetName val="sumif &amp; countif"/>
      <sheetName val="Double v lookup"/>
      <sheetName val="Sheet1"/>
      <sheetName val="Vlookup1"/>
      <sheetName val="Vlookup-1a"/>
      <sheetName val="Vlookup2"/>
    </sheetNames>
    <sheetDataSet>
      <sheetData sheetId="0"/>
      <sheetData sheetId="1">
        <row r="2">
          <cell r="B2">
            <v>0</v>
          </cell>
          <cell r="C2">
            <v>10000</v>
          </cell>
          <cell r="D2">
            <v>20000</v>
          </cell>
          <cell r="E2">
            <v>30000</v>
          </cell>
          <cell r="F2">
            <v>40000</v>
          </cell>
        </row>
        <row r="3">
          <cell r="A3" t="str">
            <v>Alpha</v>
          </cell>
          <cell r="B3">
            <v>29</v>
          </cell>
          <cell r="C3">
            <v>35</v>
          </cell>
          <cell r="D3">
            <v>68</v>
          </cell>
          <cell r="E3">
            <v>36</v>
          </cell>
          <cell r="F3">
            <v>36</v>
          </cell>
        </row>
        <row r="4">
          <cell r="A4" t="str">
            <v>Bravo</v>
          </cell>
          <cell r="B4">
            <v>46</v>
          </cell>
          <cell r="C4">
            <v>88</v>
          </cell>
          <cell r="D4">
            <v>66</v>
          </cell>
          <cell r="E4">
            <v>73</v>
          </cell>
          <cell r="F4">
            <v>66</v>
          </cell>
        </row>
        <row r="5">
          <cell r="A5" t="str">
            <v>Charlie</v>
          </cell>
          <cell r="B5">
            <v>37</v>
          </cell>
          <cell r="C5">
            <v>24</v>
          </cell>
          <cell r="D5">
            <v>88</v>
          </cell>
          <cell r="E5">
            <v>95</v>
          </cell>
          <cell r="F5">
            <v>80</v>
          </cell>
        </row>
        <row r="6">
          <cell r="A6" t="str">
            <v>Delta</v>
          </cell>
          <cell r="B6">
            <v>45</v>
          </cell>
          <cell r="C6">
            <v>82</v>
          </cell>
          <cell r="D6">
            <v>97</v>
          </cell>
          <cell r="E6">
            <v>66</v>
          </cell>
          <cell r="F6">
            <v>94</v>
          </cell>
        </row>
        <row r="7">
          <cell r="A7" t="str">
            <v>Echo</v>
          </cell>
          <cell r="B7">
            <v>53</v>
          </cell>
          <cell r="C7">
            <v>48</v>
          </cell>
          <cell r="D7">
            <v>67</v>
          </cell>
          <cell r="E7">
            <v>36</v>
          </cell>
          <cell r="F7">
            <v>78</v>
          </cell>
        </row>
        <row r="8">
          <cell r="A8" t="str">
            <v>Foxtrot</v>
          </cell>
          <cell r="B8">
            <v>67</v>
          </cell>
          <cell r="C8">
            <v>98</v>
          </cell>
          <cell r="D8">
            <v>66</v>
          </cell>
          <cell r="E8">
            <v>43</v>
          </cell>
          <cell r="F8">
            <v>98</v>
          </cell>
        </row>
        <row r="9">
          <cell r="A9" t="str">
            <v>Golf</v>
          </cell>
          <cell r="B9">
            <v>69</v>
          </cell>
          <cell r="C9">
            <v>90</v>
          </cell>
          <cell r="D9">
            <v>43</v>
          </cell>
          <cell r="E9">
            <v>53</v>
          </cell>
          <cell r="F9">
            <v>35</v>
          </cell>
        </row>
        <row r="10">
          <cell r="A10" t="str">
            <v>hotel</v>
          </cell>
          <cell r="B10">
            <v>33</v>
          </cell>
          <cell r="C10">
            <v>36</v>
          </cell>
          <cell r="D10">
            <v>22</v>
          </cell>
          <cell r="E10">
            <v>45</v>
          </cell>
          <cell r="F10">
            <v>95</v>
          </cell>
        </row>
        <row r="11">
          <cell r="A11" t="str">
            <v>india</v>
          </cell>
          <cell r="B11">
            <v>65</v>
          </cell>
          <cell r="C11">
            <v>27</v>
          </cell>
          <cell r="D11">
            <v>54</v>
          </cell>
          <cell r="E11">
            <v>40</v>
          </cell>
          <cell r="F11">
            <v>29</v>
          </cell>
        </row>
      </sheetData>
      <sheetData sheetId="2"/>
      <sheetData sheetId="3"/>
      <sheetData sheetId="4"/>
      <sheetData sheetId="5"/>
      <sheetData sheetId="6">
        <row r="3">
          <cell r="A3" t="str">
            <v>Smith</v>
          </cell>
          <cell r="C3">
            <v>123545632</v>
          </cell>
        </row>
        <row r="4">
          <cell r="A4" t="str">
            <v>Johnson</v>
          </cell>
          <cell r="C4">
            <v>123548623</v>
          </cell>
        </row>
        <row r="5">
          <cell r="A5" t="str">
            <v>Mickeley</v>
          </cell>
          <cell r="C5">
            <v>124536205</v>
          </cell>
        </row>
        <row r="6">
          <cell r="A6" t="str">
            <v>Houser</v>
          </cell>
          <cell r="C6">
            <v>124578986</v>
          </cell>
        </row>
        <row r="7">
          <cell r="A7" t="str">
            <v>Jackson</v>
          </cell>
          <cell r="C7">
            <v>130245602</v>
          </cell>
        </row>
        <row r="8">
          <cell r="A8" t="str">
            <v>Potter</v>
          </cell>
          <cell r="C8">
            <v>145384358</v>
          </cell>
        </row>
        <row r="9">
          <cell r="A9" t="str">
            <v>Scott</v>
          </cell>
          <cell r="C9">
            <v>145621547</v>
          </cell>
        </row>
        <row r="10">
          <cell r="A10" t="str">
            <v>Butler</v>
          </cell>
          <cell r="C10">
            <v>201232025</v>
          </cell>
        </row>
        <row r="11">
          <cell r="A11" t="str">
            <v>Jones</v>
          </cell>
          <cell r="C11">
            <v>201452369</v>
          </cell>
        </row>
        <row r="12">
          <cell r="A12" t="str">
            <v>Henderson</v>
          </cell>
          <cell r="C12">
            <v>201456328</v>
          </cell>
        </row>
        <row r="13">
          <cell r="A13" t="str">
            <v>Hawkins</v>
          </cell>
          <cell r="C13">
            <v>203052862</v>
          </cell>
        </row>
        <row r="14">
          <cell r="A14" t="str">
            <v xml:space="preserve">White </v>
          </cell>
          <cell r="C14">
            <v>203450326</v>
          </cell>
        </row>
        <row r="15">
          <cell r="A15" t="str">
            <v>Watkins</v>
          </cell>
          <cell r="C15">
            <v>230156472</v>
          </cell>
        </row>
        <row r="16">
          <cell r="A16" t="str">
            <v>Davis</v>
          </cell>
          <cell r="C16">
            <v>235729562</v>
          </cell>
        </row>
        <row r="17">
          <cell r="A17" t="str">
            <v>Samson</v>
          </cell>
          <cell r="C17">
            <v>237985412</v>
          </cell>
        </row>
        <row r="18">
          <cell r="A18" t="str">
            <v>Stevens</v>
          </cell>
          <cell r="C18">
            <v>251412632</v>
          </cell>
        </row>
        <row r="19">
          <cell r="A19" t="str">
            <v>Douglas</v>
          </cell>
          <cell r="C19">
            <v>256301203</v>
          </cell>
        </row>
        <row r="20">
          <cell r="A20" t="str">
            <v>Evans</v>
          </cell>
          <cell r="C20">
            <v>256321014</v>
          </cell>
        </row>
        <row r="21">
          <cell r="A21" t="str">
            <v>Bliss</v>
          </cell>
          <cell r="C21">
            <v>264103596</v>
          </cell>
        </row>
        <row r="22">
          <cell r="A22" t="str">
            <v>Applegate</v>
          </cell>
          <cell r="C22">
            <v>283915649</v>
          </cell>
        </row>
        <row r="23">
          <cell r="A23" t="str">
            <v>Bush</v>
          </cell>
          <cell r="C23">
            <v>286254486</v>
          </cell>
        </row>
        <row r="24">
          <cell r="A24" t="str">
            <v>Cook</v>
          </cell>
          <cell r="C24">
            <v>302010205</v>
          </cell>
        </row>
        <row r="25">
          <cell r="A25" t="str">
            <v>Gore</v>
          </cell>
          <cell r="C25">
            <v>302010254</v>
          </cell>
        </row>
        <row r="26">
          <cell r="A26" t="str">
            <v>McDonalds</v>
          </cell>
          <cell r="C26">
            <v>302010452</v>
          </cell>
        </row>
        <row r="27">
          <cell r="A27" t="str">
            <v>Sapp</v>
          </cell>
          <cell r="C27">
            <v>302510249</v>
          </cell>
        </row>
        <row r="28">
          <cell r="A28" t="str">
            <v>McConald</v>
          </cell>
          <cell r="C28">
            <v>302563259</v>
          </cell>
        </row>
        <row r="29">
          <cell r="A29" t="str">
            <v>Harris</v>
          </cell>
          <cell r="C29">
            <v>316497283</v>
          </cell>
        </row>
        <row r="30">
          <cell r="A30" t="str">
            <v>Williams</v>
          </cell>
          <cell r="C30">
            <v>320230150</v>
          </cell>
        </row>
        <row r="31">
          <cell r="A31" t="str">
            <v>McCool</v>
          </cell>
          <cell r="C31">
            <v>323645863</v>
          </cell>
        </row>
        <row r="32">
          <cell r="A32" t="str">
            <v>Klee</v>
          </cell>
          <cell r="C32">
            <v>324785416</v>
          </cell>
        </row>
        <row r="33">
          <cell r="A33" t="str">
            <v>Jay</v>
          </cell>
          <cell r="C33">
            <v>325026533</v>
          </cell>
        </row>
        <row r="34">
          <cell r="A34" t="str">
            <v>Thomas</v>
          </cell>
          <cell r="C34">
            <v>325621214</v>
          </cell>
        </row>
        <row r="35">
          <cell r="A35" t="str">
            <v>Grant</v>
          </cell>
          <cell r="C35">
            <v>325646872</v>
          </cell>
        </row>
        <row r="36">
          <cell r="A36" t="str">
            <v>Futch</v>
          </cell>
          <cell r="C36">
            <v>325689453</v>
          </cell>
        </row>
        <row r="37">
          <cell r="A37" t="str">
            <v>Adams</v>
          </cell>
          <cell r="C37">
            <v>325698523</v>
          </cell>
        </row>
        <row r="38">
          <cell r="A38" t="str">
            <v>McGill</v>
          </cell>
          <cell r="C38">
            <v>326502154</v>
          </cell>
        </row>
        <row r="39">
          <cell r="A39" t="str">
            <v>Patterson</v>
          </cell>
          <cell r="C39">
            <v>326532584</v>
          </cell>
        </row>
        <row r="40">
          <cell r="A40" t="str">
            <v>Gremsley</v>
          </cell>
          <cell r="C40">
            <v>326532658</v>
          </cell>
        </row>
        <row r="41">
          <cell r="A41" t="str">
            <v>Oliver</v>
          </cell>
          <cell r="C41">
            <v>326545782</v>
          </cell>
        </row>
        <row r="42">
          <cell r="A42" t="str">
            <v xml:space="preserve">Jefferson </v>
          </cell>
          <cell r="C42">
            <v>354621321</v>
          </cell>
        </row>
        <row r="43">
          <cell r="A43" t="str">
            <v>Truman</v>
          </cell>
          <cell r="C43">
            <v>452632589</v>
          </cell>
        </row>
        <row r="44">
          <cell r="A44" t="str">
            <v>Lexington</v>
          </cell>
          <cell r="C44">
            <v>456258965</v>
          </cell>
        </row>
        <row r="45">
          <cell r="A45" t="str">
            <v>Kennedy</v>
          </cell>
          <cell r="C45">
            <v>469864364</v>
          </cell>
        </row>
        <row r="46">
          <cell r="A46" t="str">
            <v>Fox</v>
          </cell>
          <cell r="C46">
            <v>476465354</v>
          </cell>
        </row>
        <row r="47">
          <cell r="A47" t="str">
            <v>Daugherty</v>
          </cell>
          <cell r="C47">
            <v>502060809</v>
          </cell>
        </row>
        <row r="48">
          <cell r="A48" t="str">
            <v>Black</v>
          </cell>
          <cell r="C48">
            <v>520362012</v>
          </cell>
        </row>
        <row r="49">
          <cell r="A49" t="str">
            <v>Burd</v>
          </cell>
          <cell r="C49">
            <v>523154632</v>
          </cell>
        </row>
        <row r="50">
          <cell r="A50" t="str">
            <v>Washington</v>
          </cell>
          <cell r="C50">
            <v>525462149</v>
          </cell>
        </row>
        <row r="51">
          <cell r="A51" t="str">
            <v>Kerns</v>
          </cell>
          <cell r="C51">
            <v>526356230</v>
          </cell>
        </row>
        <row r="52">
          <cell r="A52" t="str">
            <v>Allen</v>
          </cell>
          <cell r="C52">
            <v>526478894</v>
          </cell>
        </row>
        <row r="53">
          <cell r="A53" t="str">
            <v>Fisk</v>
          </cell>
          <cell r="C53">
            <v>542103201</v>
          </cell>
        </row>
        <row r="54">
          <cell r="A54" t="str">
            <v>Jenkins</v>
          </cell>
          <cell r="C54">
            <v>542136814</v>
          </cell>
        </row>
        <row r="55">
          <cell r="A55" t="str">
            <v>Yale</v>
          </cell>
          <cell r="C55">
            <v>546554825</v>
          </cell>
        </row>
        <row r="56">
          <cell r="A56" t="str">
            <v>Doe</v>
          </cell>
          <cell r="C56">
            <v>554495456</v>
          </cell>
        </row>
        <row r="57">
          <cell r="A57" t="str">
            <v>O'Neal</v>
          </cell>
          <cell r="C57">
            <v>562315487</v>
          </cell>
        </row>
        <row r="58">
          <cell r="A58" t="str">
            <v>Oconner</v>
          </cell>
          <cell r="C58">
            <v>563254823</v>
          </cell>
        </row>
        <row r="59">
          <cell r="A59" t="str">
            <v>Ervin</v>
          </cell>
          <cell r="C59">
            <v>565473523</v>
          </cell>
        </row>
        <row r="60">
          <cell r="A60" t="str">
            <v>Mills</v>
          </cell>
          <cell r="C60">
            <v>623547852</v>
          </cell>
        </row>
        <row r="61">
          <cell r="A61" t="str">
            <v>Rice</v>
          </cell>
          <cell r="C61">
            <v>625132101</v>
          </cell>
        </row>
        <row r="62">
          <cell r="A62" t="str">
            <v>Perkins</v>
          </cell>
          <cell r="C62">
            <v>625308706</v>
          </cell>
        </row>
        <row r="63">
          <cell r="A63" t="str">
            <v>Pipkin</v>
          </cell>
          <cell r="C63">
            <v>632565479</v>
          </cell>
        </row>
        <row r="64">
          <cell r="A64" t="str">
            <v>Ward</v>
          </cell>
          <cell r="C64">
            <v>652325698</v>
          </cell>
        </row>
        <row r="65">
          <cell r="A65" t="str">
            <v>Starbucks</v>
          </cell>
          <cell r="C65">
            <v>653256893</v>
          </cell>
        </row>
        <row r="66">
          <cell r="A66" t="str">
            <v>Simms</v>
          </cell>
          <cell r="C66">
            <v>653265423</v>
          </cell>
        </row>
        <row r="67">
          <cell r="A67" t="str">
            <v>Sanchez</v>
          </cell>
          <cell r="C67">
            <v>654512353</v>
          </cell>
        </row>
        <row r="68">
          <cell r="A68" t="str">
            <v>Gonzales</v>
          </cell>
          <cell r="C68">
            <v>658548759</v>
          </cell>
        </row>
        <row r="69">
          <cell r="A69" t="str">
            <v>Martinez</v>
          </cell>
          <cell r="C69">
            <v>741286235</v>
          </cell>
        </row>
        <row r="70">
          <cell r="A70" t="str">
            <v>Simmons</v>
          </cell>
          <cell r="C70">
            <v>745896210</v>
          </cell>
        </row>
        <row r="71">
          <cell r="A71" t="str">
            <v>Standards</v>
          </cell>
          <cell r="C71">
            <v>745896215</v>
          </cell>
        </row>
        <row r="72">
          <cell r="A72" t="str">
            <v>Bills</v>
          </cell>
          <cell r="C72">
            <v>754123658</v>
          </cell>
        </row>
        <row r="73">
          <cell r="A73" t="str">
            <v>Zeller</v>
          </cell>
          <cell r="C73">
            <v>754526321</v>
          </cell>
        </row>
        <row r="74">
          <cell r="A74" t="str">
            <v>Binder</v>
          </cell>
          <cell r="C74">
            <v>755489622</v>
          </cell>
        </row>
        <row r="75">
          <cell r="A75" t="str">
            <v>McDel</v>
          </cell>
          <cell r="C75">
            <v>756535453</v>
          </cell>
        </row>
        <row r="76">
          <cell r="A76" t="str">
            <v>Monty</v>
          </cell>
          <cell r="C76">
            <v>785143545</v>
          </cell>
        </row>
        <row r="77">
          <cell r="A77" t="str">
            <v>Vershaci</v>
          </cell>
          <cell r="C77">
            <v>785143658</v>
          </cell>
        </row>
        <row r="78">
          <cell r="A78" t="str">
            <v>Walker</v>
          </cell>
          <cell r="C78">
            <v>789544623</v>
          </cell>
        </row>
        <row r="79">
          <cell r="A79" t="str">
            <v>Gaels</v>
          </cell>
          <cell r="C79">
            <v>794653258</v>
          </cell>
        </row>
        <row r="80">
          <cell r="A80" t="str">
            <v>Lewis</v>
          </cell>
          <cell r="C80">
            <v>825242356</v>
          </cell>
        </row>
        <row r="81">
          <cell r="A81" t="str">
            <v>Robinson</v>
          </cell>
          <cell r="C81">
            <v>829341652</v>
          </cell>
        </row>
        <row r="82">
          <cell r="A82" t="str">
            <v>Whitman</v>
          </cell>
          <cell r="C82">
            <v>852145291</v>
          </cell>
        </row>
        <row r="83">
          <cell r="A83" t="str">
            <v>Rushington</v>
          </cell>
          <cell r="C83">
            <v>852321101</v>
          </cell>
        </row>
        <row r="84">
          <cell r="A84" t="str">
            <v>First</v>
          </cell>
          <cell r="C84">
            <v>852354697</v>
          </cell>
        </row>
        <row r="85">
          <cell r="A85" t="str">
            <v>Hicks</v>
          </cell>
          <cell r="C85">
            <v>854752136</v>
          </cell>
        </row>
        <row r="86">
          <cell r="A86" t="str">
            <v>Ralley</v>
          </cell>
          <cell r="C86">
            <v>856132023</v>
          </cell>
        </row>
        <row r="87">
          <cell r="A87" t="str">
            <v>Green</v>
          </cell>
          <cell r="C87">
            <v>861320546</v>
          </cell>
        </row>
        <row r="88">
          <cell r="A88" t="str">
            <v>Greenwood</v>
          </cell>
          <cell r="C88">
            <v>907030164</v>
          </cell>
        </row>
        <row r="89">
          <cell r="A89" t="str">
            <v>Right</v>
          </cell>
          <cell r="C89">
            <v>913766491</v>
          </cell>
        </row>
        <row r="90">
          <cell r="A90" t="str">
            <v>White</v>
          </cell>
          <cell r="C90">
            <v>936352156</v>
          </cell>
        </row>
        <row r="91">
          <cell r="A91" t="str">
            <v>Chapman</v>
          </cell>
          <cell r="C91">
            <v>951236548</v>
          </cell>
        </row>
        <row r="92">
          <cell r="A92" t="str">
            <v>Harvard</v>
          </cell>
          <cell r="C92">
            <v>951846230</v>
          </cell>
        </row>
        <row r="93">
          <cell r="A93" t="str">
            <v>Brown</v>
          </cell>
          <cell r="C93">
            <v>956231325</v>
          </cell>
        </row>
        <row r="94">
          <cell r="A94" t="str">
            <v>Dale</v>
          </cell>
          <cell r="C94">
            <v>956233232</v>
          </cell>
        </row>
        <row r="95">
          <cell r="A95" t="str">
            <v>Vaduz</v>
          </cell>
          <cell r="C95">
            <v>963256320</v>
          </cell>
        </row>
        <row r="96">
          <cell r="A96" t="str">
            <v>Ezal</v>
          </cell>
          <cell r="C96">
            <v>963256359</v>
          </cell>
        </row>
        <row r="97">
          <cell r="A97" t="str">
            <v>Heffner</v>
          </cell>
          <cell r="C97">
            <v>965232569</v>
          </cell>
        </row>
        <row r="98">
          <cell r="A98" t="str">
            <v>Lawson</v>
          </cell>
          <cell r="C98">
            <v>965232569</v>
          </cell>
        </row>
        <row r="99">
          <cell r="A99" t="str">
            <v>Lovejoy</v>
          </cell>
          <cell r="C99">
            <v>985673214</v>
          </cell>
        </row>
        <row r="100">
          <cell r="A100" t="str">
            <v>McDottle</v>
          </cell>
          <cell r="C100">
            <v>986532125</v>
          </cell>
        </row>
        <row r="101">
          <cell r="A101" t="str">
            <v>Bonita</v>
          </cell>
          <cell r="C101" t="str">
            <v>112-25-4636</v>
          </cell>
        </row>
        <row r="102">
          <cell r="A102" t="str">
            <v>Fletcher</v>
          </cell>
          <cell r="C102" t="str">
            <v>123-44-4474</v>
          </cell>
        </row>
        <row r="103">
          <cell r="A103" t="str">
            <v>Tallgates</v>
          </cell>
          <cell r="C103" t="str">
            <v>124-45-5235</v>
          </cell>
        </row>
        <row r="104">
          <cell r="A104" t="str">
            <v>Armstrong</v>
          </cell>
          <cell r="C104" t="str">
            <v>213-25-9874</v>
          </cell>
        </row>
        <row r="105">
          <cell r="A105" t="str">
            <v>Stowe</v>
          </cell>
          <cell r="C105" t="str">
            <v>214-54-7852</v>
          </cell>
        </row>
        <row r="106">
          <cell r="A106" t="str">
            <v>Barclay</v>
          </cell>
          <cell r="C106" t="str">
            <v>231-56-9879</v>
          </cell>
        </row>
        <row r="107">
          <cell r="A107" t="str">
            <v>Emins</v>
          </cell>
          <cell r="C107" t="str">
            <v>235-23-2547</v>
          </cell>
        </row>
        <row r="108">
          <cell r="A108" t="str">
            <v>Waters</v>
          </cell>
          <cell r="C108" t="str">
            <v>235-25-3698</v>
          </cell>
        </row>
        <row r="109">
          <cell r="A109" t="str">
            <v>Gates</v>
          </cell>
          <cell r="C109" t="str">
            <v>235-26-5689</v>
          </cell>
        </row>
        <row r="110">
          <cell r="A110" t="str">
            <v>Welch</v>
          </cell>
          <cell r="C110" t="str">
            <v>235-36-9632</v>
          </cell>
        </row>
        <row r="111">
          <cell r="A111" t="str">
            <v>Warier</v>
          </cell>
          <cell r="C111" t="str">
            <v>235-56-8999</v>
          </cell>
        </row>
        <row r="112">
          <cell r="A112" t="str">
            <v>Harpy</v>
          </cell>
          <cell r="C112" t="str">
            <v>235-63-3656</v>
          </cell>
        </row>
        <row r="113">
          <cell r="A113" t="str">
            <v>Harper</v>
          </cell>
          <cell r="C113" t="str">
            <v>235-65-6325</v>
          </cell>
        </row>
        <row r="114">
          <cell r="A114" t="str">
            <v>Edwards</v>
          </cell>
          <cell r="C114" t="str">
            <v>258-23-2589</v>
          </cell>
        </row>
        <row r="115">
          <cell r="A115" t="str">
            <v>Caesar</v>
          </cell>
          <cell r="C115" t="str">
            <v>286-56-8899</v>
          </cell>
        </row>
        <row r="116">
          <cell r="A116" t="str">
            <v>Kilapatick</v>
          </cell>
          <cell r="C116" t="str">
            <v>286-80-9752</v>
          </cell>
        </row>
        <row r="117">
          <cell r="A117" t="str">
            <v>Patron</v>
          </cell>
          <cell r="C117" t="str">
            <v>321-36-6633</v>
          </cell>
        </row>
        <row r="118">
          <cell r="A118" t="str">
            <v>Mackintas</v>
          </cell>
          <cell r="C118" t="str">
            <v>325-32-0022</v>
          </cell>
        </row>
        <row r="119">
          <cell r="A119" t="str">
            <v>Witfield</v>
          </cell>
          <cell r="C119" t="str">
            <v>325-33-6687</v>
          </cell>
        </row>
        <row r="120">
          <cell r="A120" t="str">
            <v>James</v>
          </cell>
          <cell r="C120" t="str">
            <v>325-45-8537</v>
          </cell>
        </row>
        <row r="121">
          <cell r="A121" t="str">
            <v>Webster</v>
          </cell>
          <cell r="C121" t="str">
            <v>389-25-9563</v>
          </cell>
        </row>
        <row r="122">
          <cell r="A122" t="str">
            <v>Hemal</v>
          </cell>
          <cell r="C122" t="str">
            <v>425-00-2313</v>
          </cell>
        </row>
        <row r="123">
          <cell r="A123" t="str">
            <v>Newton</v>
          </cell>
          <cell r="C123" t="str">
            <v>445-88-9003</v>
          </cell>
        </row>
        <row r="124">
          <cell r="A124" t="str">
            <v>Taylor</v>
          </cell>
          <cell r="C124" t="str">
            <v>452-25-0012</v>
          </cell>
        </row>
        <row r="125">
          <cell r="A125" t="str">
            <v>Young</v>
          </cell>
          <cell r="C125" t="str">
            <v>456-65-6589</v>
          </cell>
        </row>
        <row r="126">
          <cell r="A126" t="str">
            <v>Bensons</v>
          </cell>
          <cell r="C126" t="str">
            <v>458-00-7852</v>
          </cell>
        </row>
        <row r="127">
          <cell r="A127" t="str">
            <v>Franklin</v>
          </cell>
          <cell r="C127" t="str">
            <v>458-45-7536</v>
          </cell>
        </row>
        <row r="128">
          <cell r="A128" t="str">
            <v>Gowens</v>
          </cell>
          <cell r="C128" t="str">
            <v>546-56-5566</v>
          </cell>
        </row>
        <row r="129">
          <cell r="A129" t="str">
            <v>McCallister</v>
          </cell>
          <cell r="C129" t="str">
            <v>548-58-5421</v>
          </cell>
        </row>
        <row r="130">
          <cell r="A130" t="str">
            <v>Buster</v>
          </cell>
          <cell r="C130" t="str">
            <v>555-56-5656</v>
          </cell>
        </row>
        <row r="131">
          <cell r="A131" t="str">
            <v>Nelson</v>
          </cell>
          <cell r="C131" t="str">
            <v>562-56-3302</v>
          </cell>
        </row>
        <row r="132">
          <cell r="A132" t="str">
            <v>Flanders</v>
          </cell>
          <cell r="C132" t="str">
            <v>563-56-6669</v>
          </cell>
        </row>
        <row r="133">
          <cell r="A133" t="str">
            <v>Sanchez</v>
          </cell>
          <cell r="C133" t="str">
            <v>568-54-0011</v>
          </cell>
        </row>
        <row r="134">
          <cell r="A134" t="str">
            <v>DiAngelo</v>
          </cell>
          <cell r="C134" t="str">
            <v>568-55-6632</v>
          </cell>
        </row>
        <row r="135">
          <cell r="A135" t="str">
            <v>Mattingly</v>
          </cell>
          <cell r="C135" t="str">
            <v>568-56-5544</v>
          </cell>
        </row>
        <row r="136">
          <cell r="A136" t="str">
            <v>Lynn</v>
          </cell>
          <cell r="C136" t="str">
            <v>568-56-8989</v>
          </cell>
        </row>
        <row r="137">
          <cell r="A137" t="str">
            <v>King</v>
          </cell>
          <cell r="C137" t="str">
            <v>569-58-9853</v>
          </cell>
        </row>
        <row r="138">
          <cell r="A138" t="str">
            <v>Bennet</v>
          </cell>
          <cell r="C138" t="str">
            <v>586-56-6323</v>
          </cell>
        </row>
        <row r="139">
          <cell r="A139" t="str">
            <v>Phillips</v>
          </cell>
          <cell r="C139" t="str">
            <v>657-78-7700</v>
          </cell>
        </row>
        <row r="140">
          <cell r="A140" t="str">
            <v>DeLong</v>
          </cell>
          <cell r="C140" t="str">
            <v>741-78-7845</v>
          </cell>
        </row>
        <row r="141">
          <cell r="A141" t="str">
            <v>DePre</v>
          </cell>
          <cell r="C141" t="str">
            <v>745-75-7855</v>
          </cell>
        </row>
        <row r="142">
          <cell r="A142" t="str">
            <v>Bradley</v>
          </cell>
          <cell r="C142" t="str">
            <v>784-78-7811</v>
          </cell>
        </row>
        <row r="143">
          <cell r="A143" t="str">
            <v>Martinez</v>
          </cell>
          <cell r="C143" t="str">
            <v>785-85-0022</v>
          </cell>
        </row>
        <row r="144">
          <cell r="A144" t="str">
            <v>Madison</v>
          </cell>
          <cell r="C144" t="str">
            <v>789-85-0023</v>
          </cell>
        </row>
        <row r="145">
          <cell r="A145" t="str">
            <v>Shakepere</v>
          </cell>
          <cell r="C145" t="str">
            <v>789-89-9875</v>
          </cell>
        </row>
        <row r="146">
          <cell r="A146" t="str">
            <v>Bundy</v>
          </cell>
          <cell r="C146" t="str">
            <v>854-89-8520</v>
          </cell>
        </row>
        <row r="147">
          <cell r="A147" t="str">
            <v>Tesla</v>
          </cell>
          <cell r="C147" t="str">
            <v>895-89-9984</v>
          </cell>
        </row>
        <row r="148">
          <cell r="A148" t="str">
            <v>Dawson</v>
          </cell>
          <cell r="C148" t="str">
            <v>895-99-5623</v>
          </cell>
        </row>
        <row r="149">
          <cell r="A149" t="str">
            <v>Harrison</v>
          </cell>
          <cell r="C149" t="str">
            <v>951-52-2563</v>
          </cell>
        </row>
        <row r="150">
          <cell r="A150" t="str">
            <v>Jennings</v>
          </cell>
          <cell r="C150" t="str">
            <v>987-99-6932</v>
          </cell>
        </row>
      </sheetData>
      <sheetData sheetId="7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UNTIF AND SUMIF"/>
      <sheetName val="Assumptions for DV"/>
      <sheetName val="Data Validation"/>
      <sheetName val="Grades"/>
      <sheetName val="VLOOKUP-Journal Entry"/>
      <sheetName val="Assumptions &amp; Lists for CT"/>
      <sheetName val="Consignment Tables (2)"/>
      <sheetName val="Tax Table VLOOKUP"/>
    </sheetNames>
    <sheetDataSet>
      <sheetData sheetId="0" refreshError="1"/>
      <sheetData sheetId="1">
        <row r="2">
          <cell r="A2">
            <v>101</v>
          </cell>
        </row>
        <row r="3">
          <cell r="A3">
            <v>102</v>
          </cell>
        </row>
        <row r="4">
          <cell r="A4">
            <v>103</v>
          </cell>
        </row>
        <row r="5">
          <cell r="A5">
            <v>104</v>
          </cell>
        </row>
        <row r="6">
          <cell r="A6">
            <v>105</v>
          </cell>
        </row>
        <row r="7">
          <cell r="A7">
            <v>106</v>
          </cell>
        </row>
        <row r="8">
          <cell r="A8">
            <v>107</v>
          </cell>
        </row>
        <row r="9">
          <cell r="A9">
            <v>108</v>
          </cell>
        </row>
        <row r="10">
          <cell r="A10">
            <v>109</v>
          </cell>
        </row>
        <row r="11">
          <cell r="A11">
            <v>110</v>
          </cell>
        </row>
        <row r="12">
          <cell r="A12">
            <v>111</v>
          </cell>
        </row>
        <row r="13">
          <cell r="A13">
            <v>112</v>
          </cell>
        </row>
        <row r="14">
          <cell r="A14">
            <v>113</v>
          </cell>
        </row>
        <row r="15">
          <cell r="A15">
            <v>114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TENT"/>
      <sheetName val="WB"/>
      <sheetName val="WB SOL"/>
      <sheetName val="WB 1"/>
      <sheetName val="WB SOL 1"/>
    </sheetNames>
    <sheetDataSet>
      <sheetData sheetId="0" refreshError="1"/>
      <sheetData sheetId="1" refreshError="1"/>
      <sheetData sheetId="2" refreshError="1"/>
      <sheetData sheetId="3">
        <row r="1">
          <cell r="A1" t="str">
            <v>5-Digit County Code</v>
          </cell>
          <cell r="B1" t="str">
            <v>State Name</v>
          </cell>
          <cell r="C1" t="str">
            <v>County Name</v>
          </cell>
          <cell r="D1" t="str">
            <v>Metropolitan Designation</v>
          </cell>
          <cell r="E1" t="str">
            <v>Welfare Budget</v>
          </cell>
        </row>
      </sheetData>
      <sheetData sheetId="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troduction"/>
      <sheetName val="Index"/>
      <sheetName val="Referencing"/>
      <sheetName val="Scenario"/>
      <sheetName val="DataTables"/>
      <sheetName val="Offset"/>
      <sheetName val="Arrays"/>
      <sheetName val="ConditionalFormat"/>
    </sheetNames>
    <sheetDataSet>
      <sheetData sheetId="0" refreshError="1"/>
      <sheetData sheetId="1" refreshError="1"/>
      <sheetData sheetId="2"/>
      <sheetData sheetId="3" refreshError="1"/>
      <sheetData sheetId="4"/>
      <sheetData sheetId="5">
        <row r="11">
          <cell r="J11">
            <v>2</v>
          </cell>
        </row>
      </sheetData>
      <sheetData sheetId="6" refreshError="1"/>
      <sheetData sheetId="7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Worksheet 2"/>
      <sheetName val="Worksheet 1"/>
      <sheetName val="Worksheet 3"/>
      <sheetName val="Worksheet 4"/>
      <sheetName val="Worksheet 5"/>
      <sheetName val="Worksheet 6"/>
      <sheetName val="Scenario Summary"/>
      <sheetName val="Worksheet 7"/>
      <sheetName val="Chart1"/>
      <sheetName val="Worksheet 8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namic Data Validation"/>
    </sheetNames>
    <sheetDataSet>
      <sheetData sheetId="0">
        <row r="1">
          <cell r="D1" t="str">
            <v>RAJASTHAN</v>
          </cell>
          <cell r="E1" t="str">
            <v>PUNJAB</v>
          </cell>
          <cell r="F1" t="str">
            <v>GUJARAT</v>
          </cell>
          <cell r="G1" t="str">
            <v>UTTAR_PRADESH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e"/>
      <sheetName val="Sum(if,ifs)"/>
      <sheetName val="Sum Ex1"/>
      <sheetName val="Count(if,ifs)"/>
      <sheetName val="Sum,Count,Avg Ex"/>
      <sheetName val="Wildcards"/>
      <sheetName val="Text Functions"/>
      <sheetName val="Text Ex"/>
      <sheetName val="IF Functionality"/>
      <sheetName val="IF Ex1"/>
      <sheetName val="IF Ex2"/>
      <sheetName val="IF Ex3"/>
      <sheetName val="IF Ex4"/>
      <sheetName val="IF Ex5"/>
      <sheetName val="Ref Ex1"/>
      <sheetName val="Ref Ex2"/>
      <sheetName val="Ref Ex3"/>
      <sheetName val="References"/>
      <sheetName val="Vlookup(False)"/>
      <sheetName val="Vlookup Ex1"/>
      <sheetName val="Vlookup Ex2"/>
      <sheetName val="Vlookup Ex3"/>
      <sheetName val="Vlookup(True)"/>
      <sheetName val="Vlookup Ex4"/>
      <sheetName val="Vlookup Ex5"/>
      <sheetName val="a"/>
      <sheetName val="b"/>
      <sheetName val="c"/>
      <sheetName val="d"/>
      <sheetName val="Vlookup &amp; IF"/>
      <sheetName val="1 (a)"/>
      <sheetName val="1 (b)"/>
      <sheetName val="2 (a)"/>
      <sheetName val="2 (b)"/>
      <sheetName val="Hlookup(False)"/>
      <sheetName val="Hlookup(True)"/>
      <sheetName val="Lookup"/>
      <sheetName val="Index &amp; Match"/>
      <sheetName val="Index &amp; Match Ex1"/>
      <sheetName val="Index &amp; Match Ex2"/>
      <sheetName val="Index &amp; Match Ex3"/>
      <sheetName val="Lookup, Index &amp; Match"/>
      <sheetName val="Fin Functions"/>
      <sheetName val="Loan Table"/>
      <sheetName val="Simple Int"/>
      <sheetName val="Compound Int"/>
      <sheetName val="Depreciation"/>
      <sheetName val="Misc Ex1"/>
      <sheetName val="Sort &amp; Filter"/>
      <sheetName val="Filter Ex1"/>
      <sheetName val="Date &amp; Time"/>
      <sheetName val="Date Ex1"/>
      <sheetName val="Date Ex2"/>
      <sheetName val="Date Ex3"/>
      <sheetName val="Pivot Table Ex1 (a)"/>
      <sheetName val="Pivot Table Ex1 (b)"/>
      <sheetName val="Pivot Table Ex2"/>
      <sheetName val="Pivot Table Ex3"/>
      <sheetName val="Data Validation"/>
      <sheetName val="Data Validation Ex1"/>
      <sheetName val="Data Validation Ex2"/>
      <sheetName val="Data Validation Ex3 (a)"/>
      <sheetName val="Data Validation Ex3 (b)"/>
      <sheetName val="Data Validation Ex4"/>
      <sheetName val="Data Validation Ex5"/>
      <sheetName val="Data Validation Ex6"/>
      <sheetName val="Data Validation Ex7"/>
      <sheetName val="Data Validation Ex8"/>
      <sheetName val="Data Validation Ex9"/>
      <sheetName val="Data Validation Ex10"/>
      <sheetName val="Data Validation Ex11"/>
      <sheetName val="Protection Ex1"/>
      <sheetName val="Protection Ex2"/>
      <sheetName val="Protection Ex3"/>
      <sheetName val="Protection Ex4(a)"/>
      <sheetName val="Protection Ex4(b)"/>
      <sheetName val="Dashboard Ex1"/>
      <sheetName val="Dashboard Ex2(a)"/>
      <sheetName val="Dashboard Ex2(b)"/>
      <sheetName val="Dashboard Ex2(c)"/>
      <sheetName val="Dashboard"/>
      <sheetName val="Data"/>
      <sheetName val="Column Chart Ex1"/>
      <sheetName val="Column Chart Ex2"/>
      <sheetName val="Bar Chart"/>
      <sheetName val="Line Chart"/>
      <sheetName val="Secondary Axis"/>
      <sheetName val="3D Line chart"/>
      <sheetName val="Area Chart"/>
      <sheetName val="Pie Chart"/>
      <sheetName val="Bar of Pie Chart"/>
      <sheetName val="Stock Chart Ex1"/>
      <sheetName val="Stock Chart Ex2"/>
      <sheetName val="Log Scale"/>
      <sheetName val="Thermometer Chart"/>
      <sheetName val="Gauge Chart"/>
      <sheetName val="Timeline (Gantt) Chart"/>
      <sheetName val="In-cell Chart"/>
      <sheetName val="Waterfall Chart"/>
      <sheetName val="Min-Max Chart"/>
      <sheetName val="Bullet Chart"/>
      <sheetName val="ARRAY Ex1"/>
      <sheetName val="ARRAY Ex2"/>
      <sheetName val="ARRAY Ex3"/>
      <sheetName val="ARRAY Ex4"/>
      <sheetName val="Consolidate Ex1(a)"/>
      <sheetName val="Consolidate Ex1(b)"/>
      <sheetName val="Consolidate Ex1(c)"/>
      <sheetName val="Consolidate Ex1(d)"/>
      <sheetName val="Goal Seek Ex1"/>
      <sheetName val="Goal Seek Ex2"/>
      <sheetName val="Data Table Ex1"/>
      <sheetName val="Data Table Ex2"/>
      <sheetName val="Scenario Mgr."/>
      <sheetName val="Indirect"/>
      <sheetName val="Assam"/>
      <sheetName val="Bihar"/>
      <sheetName val="Chhattisgarh"/>
      <sheetName val="Goa"/>
      <sheetName val="Gujrat"/>
      <sheetName val="Haryana"/>
      <sheetName val="Himachal Pradesh"/>
      <sheetName val="Kerala"/>
      <sheetName val="Madhya Pradesh"/>
      <sheetName val="Error Main"/>
      <sheetName val="Error Ex1"/>
      <sheetName val="Error Ex2"/>
      <sheetName val="Error Ex3"/>
      <sheetName val="Conditional Formatting Ex1"/>
      <sheetName val="Conditional Formatting Ex2"/>
      <sheetName val="Conditional Formatting Ex3"/>
      <sheetName val="Conditional Formatting Ex4"/>
      <sheetName val="Solver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D0F0F-3429-4CB2-9AEA-2497E700291B}" name="Table1" displayName="Table1" ref="A1:B9" totalsRowShown="0" headerRowDxfId="5" headerRowBorderDxfId="4" tableBorderDxfId="3" totalsRowBorderDxfId="2">
  <autoFilter ref="A1:B9" xr:uid="{066D0F0F-3429-4CB2-9AEA-2497E700291B}"/>
  <tableColumns count="2">
    <tableColumn id="1" xr3:uid="{A558B713-49B9-432C-9E5F-D534B0A737F1}" name="Month" dataDxfId="1"/>
    <tableColumn id="2" xr3:uid="{730CA282-CAD6-474B-889E-54D50CC16AED}" name="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68F23-F5A7-44DB-B5AD-08D0F34191E3}">
  <sheetPr>
    <pageSetUpPr fitToPage="1"/>
  </sheetPr>
  <dimension ref="A3:E39"/>
  <sheetViews>
    <sheetView showGridLines="0" workbookViewId="0">
      <selection activeCell="E16" sqref="E16"/>
    </sheetView>
  </sheetViews>
  <sheetFormatPr defaultColWidth="11.44140625" defaultRowHeight="14.4"/>
  <cols>
    <col min="1" max="1" width="12.109375" style="2" customWidth="1"/>
    <col min="2" max="2" width="11.109375" style="2" customWidth="1"/>
    <col min="3" max="3" width="16.5546875" style="2" bestFit="1" customWidth="1"/>
    <col min="4" max="4" width="12.5546875" style="2" bestFit="1" customWidth="1"/>
    <col min="5" max="5" width="11" style="2" customWidth="1"/>
    <col min="6" max="6" width="11.44140625" style="2" customWidth="1"/>
    <col min="7" max="16384" width="11.44140625" style="2"/>
  </cols>
  <sheetData>
    <row r="3" spans="1:5" ht="21">
      <c r="A3" s="1" t="s">
        <v>0</v>
      </c>
    </row>
    <row r="4" spans="1:5">
      <c r="A4" s="3" t="s">
        <v>1</v>
      </c>
    </row>
    <row r="5" spans="1:5">
      <c r="A5" s="4"/>
    </row>
    <row r="6" spans="1:5">
      <c r="A6" s="5" t="s">
        <v>2</v>
      </c>
      <c r="B6" s="6" t="s">
        <v>3</v>
      </c>
      <c r="C6" s="6" t="s">
        <v>4</v>
      </c>
      <c r="D6" s="7" t="s">
        <v>5</v>
      </c>
      <c r="E6" s="8"/>
    </row>
    <row r="7" spans="1:5">
      <c r="A7" s="9" t="s">
        <v>6</v>
      </c>
      <c r="B7" s="10">
        <v>0.42</v>
      </c>
      <c r="C7" s="10">
        <v>0.46</v>
      </c>
      <c r="D7" s="11">
        <v>0.75</v>
      </c>
      <c r="E7" s="12"/>
    </row>
    <row r="8" spans="1:5">
      <c r="A8" s="9" t="s">
        <v>7</v>
      </c>
      <c r="B8" s="10">
        <v>0.39</v>
      </c>
      <c r="C8" s="10">
        <v>0.51</v>
      </c>
      <c r="D8" s="11">
        <v>0.76</v>
      </c>
      <c r="E8" s="12"/>
    </row>
    <row r="9" spans="1:5">
      <c r="A9" s="9" t="s">
        <v>8</v>
      </c>
      <c r="B9" s="10">
        <v>0.28999999999999998</v>
      </c>
      <c r="C9" s="10">
        <v>0.38</v>
      </c>
      <c r="D9" s="11">
        <v>0.73</v>
      </c>
      <c r="E9" s="12"/>
    </row>
    <row r="10" spans="1:5">
      <c r="A10" s="9" t="s">
        <v>9</v>
      </c>
      <c r="B10" s="10">
        <v>0.33</v>
      </c>
      <c r="C10" s="10">
        <v>0.39</v>
      </c>
      <c r="D10" s="11">
        <v>0.75</v>
      </c>
      <c r="E10" s="12"/>
    </row>
    <row r="11" spans="1:5">
      <c r="A11" s="9" t="s">
        <v>10</v>
      </c>
      <c r="B11" s="10">
        <v>0.48</v>
      </c>
      <c r="C11" s="10">
        <v>0.53</v>
      </c>
      <c r="D11" s="11">
        <v>0.7</v>
      </c>
      <c r="E11" s="12"/>
    </row>
    <row r="12" spans="1:5">
      <c r="A12" s="13" t="s">
        <v>11</v>
      </c>
      <c r="B12" s="14">
        <v>0.51</v>
      </c>
      <c r="C12" s="14">
        <v>0.56999999999999995</v>
      </c>
      <c r="D12" s="15">
        <v>0.78</v>
      </c>
      <c r="E12" s="12"/>
    </row>
    <row r="13" spans="1:5">
      <c r="A13" s="16"/>
      <c r="B13" s="17"/>
      <c r="C13" s="17"/>
      <c r="D13" s="17"/>
      <c r="E13" s="17"/>
    </row>
    <row r="14" spans="1:5">
      <c r="A14" s="16"/>
      <c r="B14" s="16"/>
      <c r="C14" s="16"/>
      <c r="D14" s="16"/>
      <c r="E14" s="16"/>
    </row>
    <row r="15" spans="1:5">
      <c r="A15" s="16"/>
      <c r="B15" s="12"/>
      <c r="C15" s="12"/>
      <c r="D15" s="12"/>
      <c r="E15" s="12"/>
    </row>
    <row r="16" spans="1:5">
      <c r="A16" s="16"/>
      <c r="B16" s="12"/>
      <c r="C16" s="12"/>
      <c r="D16" s="12"/>
      <c r="E16" s="12"/>
    </row>
    <row r="17" spans="1:5">
      <c r="A17" s="16"/>
      <c r="B17" s="12"/>
      <c r="C17" s="12"/>
      <c r="D17" s="12"/>
      <c r="E17" s="12"/>
    </row>
    <row r="18" spans="1:5">
      <c r="A18" s="16"/>
      <c r="B18" s="12"/>
      <c r="C18" s="12"/>
      <c r="D18" s="12"/>
      <c r="E18" s="12"/>
    </row>
    <row r="19" spans="1:5">
      <c r="A19" s="16"/>
      <c r="B19" s="12"/>
      <c r="C19" s="12"/>
      <c r="D19" s="12"/>
      <c r="E19" s="12"/>
    </row>
    <row r="20" spans="1:5">
      <c r="A20" s="16"/>
      <c r="B20" s="12"/>
      <c r="C20" s="12"/>
      <c r="D20" s="12"/>
      <c r="E20" s="12"/>
    </row>
    <row r="21" spans="1:5">
      <c r="A21" s="16"/>
      <c r="B21" s="12"/>
      <c r="C21" s="12"/>
      <c r="D21" s="12"/>
      <c r="E21" s="12"/>
    </row>
    <row r="22" spans="1:5">
      <c r="A22" s="16"/>
      <c r="B22" s="12"/>
      <c r="C22" s="12"/>
      <c r="D22" s="12"/>
      <c r="E22" s="12"/>
    </row>
    <row r="23" spans="1:5">
      <c r="A23" s="16"/>
      <c r="B23" s="12"/>
      <c r="C23" s="12"/>
      <c r="D23" s="12"/>
      <c r="E23" s="12"/>
    </row>
    <row r="24" spans="1:5">
      <c r="A24" s="16"/>
      <c r="B24" s="12"/>
      <c r="C24" s="12"/>
      <c r="D24" s="12"/>
      <c r="E24" s="12"/>
    </row>
    <row r="25" spans="1:5">
      <c r="A25" s="16"/>
      <c r="B25" s="12"/>
      <c r="C25" s="16"/>
      <c r="D25" s="16"/>
      <c r="E25" s="16"/>
    </row>
    <row r="26" spans="1:5" ht="15" thickBot="1">
      <c r="A26" s="16"/>
      <c r="B26" s="12"/>
      <c r="C26" s="16"/>
      <c r="D26" s="16"/>
      <c r="E26" s="16"/>
    </row>
    <row r="27" spans="1:5">
      <c r="A27" s="18"/>
      <c r="B27" s="19"/>
      <c r="C27" s="19"/>
      <c r="D27" s="20"/>
    </row>
    <row r="28" spans="1:5">
      <c r="A28" s="21"/>
      <c r="B28" s="22"/>
      <c r="C28" s="23"/>
      <c r="D28" s="24"/>
    </row>
    <row r="29" spans="1:5">
      <c r="A29" s="21"/>
      <c r="B29" s="22"/>
      <c r="C29" s="23"/>
      <c r="D29" s="24"/>
    </row>
    <row r="30" spans="1:5">
      <c r="A30" s="21"/>
      <c r="B30" s="22"/>
      <c r="C30" s="23"/>
      <c r="D30" s="24"/>
    </row>
    <row r="31" spans="1:5">
      <c r="A31" s="21"/>
      <c r="B31" s="22"/>
      <c r="C31" s="23"/>
      <c r="D31" s="24"/>
    </row>
    <row r="32" spans="1:5">
      <c r="A32" s="21"/>
      <c r="B32" s="22"/>
      <c r="C32" s="23"/>
      <c r="D32" s="24"/>
    </row>
    <row r="33" spans="1:4">
      <c r="A33" s="21"/>
      <c r="B33" s="22"/>
      <c r="C33" s="23"/>
      <c r="D33" s="24"/>
    </row>
    <row r="34" spans="1:4">
      <c r="A34" s="21"/>
      <c r="B34" s="22"/>
      <c r="C34" s="23"/>
      <c r="D34" s="24"/>
    </row>
    <row r="35" spans="1:4">
      <c r="A35" s="21"/>
      <c r="B35" s="22"/>
      <c r="C35" s="23"/>
      <c r="D35" s="24"/>
    </row>
    <row r="36" spans="1:4">
      <c r="A36" s="21"/>
      <c r="B36" s="22"/>
      <c r="C36" s="23"/>
      <c r="D36" s="24"/>
    </row>
    <row r="37" spans="1:4">
      <c r="A37" s="21"/>
      <c r="B37" s="22"/>
      <c r="C37" s="23"/>
      <c r="D37" s="24"/>
    </row>
    <row r="38" spans="1:4">
      <c r="A38" s="21"/>
      <c r="B38" s="22"/>
      <c r="C38" s="23"/>
      <c r="D38" s="24"/>
    </row>
    <row r="39" spans="1:4" ht="15" thickBot="1">
      <c r="A39" s="25"/>
      <c r="B39" s="26"/>
      <c r="C39" s="27"/>
      <c r="D39" s="28"/>
    </row>
  </sheetData>
  <pageMargins left="0.75" right="0.75" top="1" bottom="1" header="0.5" footer="0.5"/>
  <pageSetup paperSize="0" scale="95" orientation="portrait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0E6D6-B719-4167-A306-7096A08230AC}">
  <dimension ref="A1:B9"/>
  <sheetViews>
    <sheetView showGridLines="0" workbookViewId="0">
      <selection activeCell="C15" sqref="C15"/>
    </sheetView>
  </sheetViews>
  <sheetFormatPr defaultRowHeight="14.4"/>
  <sheetData>
    <row r="1" spans="1:2">
      <c r="A1" s="88" t="s">
        <v>2</v>
      </c>
      <c r="B1" s="89" t="s">
        <v>13</v>
      </c>
    </row>
    <row r="2" spans="1:2">
      <c r="A2" s="86" t="s">
        <v>6</v>
      </c>
      <c r="B2" s="87">
        <v>230</v>
      </c>
    </row>
    <row r="3" spans="1:2">
      <c r="A3" s="86" t="s">
        <v>7</v>
      </c>
      <c r="B3" s="87">
        <v>390</v>
      </c>
    </row>
    <row r="4" spans="1:2">
      <c r="A4" s="86" t="s">
        <v>8</v>
      </c>
      <c r="B4" s="87">
        <v>120</v>
      </c>
    </row>
    <row r="5" spans="1:2">
      <c r="A5" s="86" t="s">
        <v>9</v>
      </c>
      <c r="B5" s="87">
        <v>890</v>
      </c>
    </row>
    <row r="6" spans="1:2">
      <c r="A6" s="86" t="s">
        <v>27</v>
      </c>
      <c r="B6" s="87">
        <v>230</v>
      </c>
    </row>
    <row r="7" spans="1:2">
      <c r="A7" s="90" t="s">
        <v>28</v>
      </c>
      <c r="B7" s="91">
        <v>220</v>
      </c>
    </row>
    <row r="8" spans="1:2">
      <c r="A8" s="90" t="s">
        <v>108</v>
      </c>
      <c r="B8" s="91">
        <v>190</v>
      </c>
    </row>
    <row r="9" spans="1:2">
      <c r="A9" s="90" t="s">
        <v>109</v>
      </c>
      <c r="B9" s="91">
        <v>111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D8BFE-1162-4CCB-89AF-DF4A482D7E1B}">
  <dimension ref="A3:A203"/>
  <sheetViews>
    <sheetView showGridLines="0" topLeftCell="A180" workbookViewId="0">
      <selection activeCell="P194" sqref="P194"/>
    </sheetView>
  </sheetViews>
  <sheetFormatPr defaultColWidth="9.109375" defaultRowHeight="14.4"/>
  <cols>
    <col min="1" max="1" width="12.33203125" style="2" customWidth="1"/>
    <col min="2" max="16384" width="9.109375" style="2"/>
  </cols>
  <sheetData>
    <row r="3" spans="1:1">
      <c r="A3" s="29" t="s">
        <v>29</v>
      </c>
    </row>
    <row r="4" spans="1:1">
      <c r="A4" s="30">
        <v>19874</v>
      </c>
    </row>
    <row r="5" spans="1:1">
      <c r="A5" s="30">
        <v>19382</v>
      </c>
    </row>
    <row r="6" spans="1:1">
      <c r="A6" s="30">
        <v>20064</v>
      </c>
    </row>
    <row r="7" spans="1:1">
      <c r="A7" s="30">
        <v>21026</v>
      </c>
    </row>
    <row r="8" spans="1:1">
      <c r="A8" s="30">
        <v>22178</v>
      </c>
    </row>
    <row r="9" spans="1:1">
      <c r="A9" s="30">
        <v>22110</v>
      </c>
    </row>
    <row r="10" spans="1:1">
      <c r="A10" s="30">
        <v>21926</v>
      </c>
    </row>
    <row r="11" spans="1:1">
      <c r="A11" s="30">
        <v>21405</v>
      </c>
    </row>
    <row r="12" spans="1:1">
      <c r="A12" s="30">
        <v>21733</v>
      </c>
    </row>
    <row r="13" spans="1:1">
      <c r="A13" s="30">
        <v>21267</v>
      </c>
    </row>
    <row r="14" spans="1:1">
      <c r="A14" s="30">
        <v>21523</v>
      </c>
    </row>
    <row r="15" spans="1:1">
      <c r="A15" s="30">
        <v>21865</v>
      </c>
    </row>
    <row r="16" spans="1:1">
      <c r="A16" s="30">
        <v>21210</v>
      </c>
    </row>
    <row r="17" spans="1:1">
      <c r="A17" s="30">
        <v>21402</v>
      </c>
    </row>
    <row r="18" spans="1:1">
      <c r="A18" s="30">
        <v>21610</v>
      </c>
    </row>
    <row r="19" spans="1:1">
      <c r="A19" s="30">
        <v>20699</v>
      </c>
    </row>
    <row r="20" spans="1:1">
      <c r="A20" s="30">
        <v>20962</v>
      </c>
    </row>
    <row r="21" spans="1:1">
      <c r="A21" s="30">
        <v>20195</v>
      </c>
    </row>
    <row r="22" spans="1:1">
      <c r="A22" s="30">
        <v>19592</v>
      </c>
    </row>
    <row r="23" spans="1:1">
      <c r="A23" s="30">
        <v>19699</v>
      </c>
    </row>
    <row r="24" spans="1:1">
      <c r="A24" s="30">
        <v>19617</v>
      </c>
    </row>
    <row r="25" spans="1:1">
      <c r="A25" s="30">
        <v>18599</v>
      </c>
    </row>
    <row r="26" spans="1:1">
      <c r="A26" s="30">
        <v>17482</v>
      </c>
    </row>
    <row r="27" spans="1:1">
      <c r="A27" s="30">
        <v>17549</v>
      </c>
    </row>
    <row r="28" spans="1:1">
      <c r="A28" s="30">
        <v>17970</v>
      </c>
    </row>
    <row r="29" spans="1:1">
      <c r="A29" s="30">
        <v>18618</v>
      </c>
    </row>
    <row r="30" spans="1:1">
      <c r="A30" s="30">
        <v>19194</v>
      </c>
    </row>
    <row r="31" spans="1:1">
      <c r="A31" s="30">
        <v>19712</v>
      </c>
    </row>
    <row r="32" spans="1:1">
      <c r="A32" s="30">
        <v>20450</v>
      </c>
    </row>
    <row r="33" spans="1:1">
      <c r="A33" s="30">
        <v>19462</v>
      </c>
    </row>
    <row r="34" spans="1:1">
      <c r="A34" s="30">
        <v>20677</v>
      </c>
    </row>
    <row r="35" spans="1:1">
      <c r="A35" s="30">
        <v>20834</v>
      </c>
    </row>
    <row r="36" spans="1:1">
      <c r="A36" s="30">
        <v>21339</v>
      </c>
    </row>
    <row r="37" spans="1:1">
      <c r="A37" s="30">
        <v>21507</v>
      </c>
    </row>
    <row r="38" spans="1:1">
      <c r="A38" s="30">
        <v>21133</v>
      </c>
    </row>
    <row r="39" spans="1:1">
      <c r="A39" s="30">
        <v>21636</v>
      </c>
    </row>
    <row r="40" spans="1:1">
      <c r="A40" s="30">
        <v>21659</v>
      </c>
    </row>
    <row r="41" spans="1:1">
      <c r="A41" s="30">
        <v>22234</v>
      </c>
    </row>
    <row r="42" spans="1:1">
      <c r="A42" s="30">
        <v>22504</v>
      </c>
    </row>
    <row r="43" spans="1:1">
      <c r="A43" s="30">
        <v>21902</v>
      </c>
    </row>
    <row r="44" spans="1:1">
      <c r="A44" s="30">
        <v>21995</v>
      </c>
    </row>
    <row r="45" spans="1:1">
      <c r="A45" s="30">
        <v>21723</v>
      </c>
    </row>
    <row r="46" spans="1:1">
      <c r="A46" s="30">
        <v>22008</v>
      </c>
    </row>
    <row r="47" spans="1:1">
      <c r="A47" s="30">
        <v>21666</v>
      </c>
    </row>
    <row r="48" spans="1:1">
      <c r="A48" s="30">
        <v>21771</v>
      </c>
    </row>
    <row r="49" spans="1:1">
      <c r="A49" s="30">
        <v>22970</v>
      </c>
    </row>
    <row r="50" spans="1:1">
      <c r="A50" s="30">
        <v>23236</v>
      </c>
    </row>
    <row r="51" spans="1:1">
      <c r="A51" s="30">
        <v>22983</v>
      </c>
    </row>
    <row r="52" spans="1:1">
      <c r="A52" s="30">
        <v>22183</v>
      </c>
    </row>
    <row r="53" spans="1:1">
      <c r="A53" s="30">
        <v>21757</v>
      </c>
    </row>
    <row r="54" spans="1:1">
      <c r="A54" s="30">
        <v>22039</v>
      </c>
    </row>
    <row r="55" spans="1:1">
      <c r="A55" s="30">
        <v>22175</v>
      </c>
    </row>
    <row r="56" spans="1:1">
      <c r="A56" s="30">
        <v>22882</v>
      </c>
    </row>
    <row r="57" spans="1:1">
      <c r="A57" s="30">
        <v>23183</v>
      </c>
    </row>
    <row r="58" spans="1:1">
      <c r="A58" s="30">
        <v>22461</v>
      </c>
    </row>
    <row r="59" spans="1:1">
      <c r="A59" s="30">
        <v>22578</v>
      </c>
    </row>
    <row r="60" spans="1:1">
      <c r="A60" s="30">
        <v>22404</v>
      </c>
    </row>
    <row r="61" spans="1:1">
      <c r="A61" s="30">
        <v>21828</v>
      </c>
    </row>
    <row r="62" spans="1:1">
      <c r="A62" s="30">
        <v>21853</v>
      </c>
    </row>
    <row r="63" spans="1:1">
      <c r="A63" s="30">
        <v>22140</v>
      </c>
    </row>
    <row r="64" spans="1:1">
      <c r="A64" s="30">
        <v>21887</v>
      </c>
    </row>
    <row r="65" spans="1:1">
      <c r="A65" s="30">
        <v>21369</v>
      </c>
    </row>
    <row r="66" spans="1:1">
      <c r="A66" s="30">
        <v>21087</v>
      </c>
    </row>
    <row r="67" spans="1:1">
      <c r="A67" s="30">
        <v>20306</v>
      </c>
    </row>
    <row r="68" spans="1:1">
      <c r="A68" s="30">
        <v>20257</v>
      </c>
    </row>
    <row r="69" spans="1:1">
      <c r="A69" s="30">
        <v>19996</v>
      </c>
    </row>
    <row r="70" spans="1:1">
      <c r="A70" s="30">
        <v>19609</v>
      </c>
    </row>
    <row r="71" spans="1:1">
      <c r="A71" s="30">
        <v>19422</v>
      </c>
    </row>
    <row r="72" spans="1:1">
      <c r="A72" s="30">
        <v>20001</v>
      </c>
    </row>
    <row r="73" spans="1:1">
      <c r="A73" s="30">
        <v>19937</v>
      </c>
    </row>
    <row r="74" spans="1:1">
      <c r="A74" s="30">
        <v>20368</v>
      </c>
    </row>
    <row r="75" spans="1:1">
      <c r="A75" s="30">
        <v>20959</v>
      </c>
    </row>
    <row r="76" spans="1:1">
      <c r="A76" s="30">
        <v>21809</v>
      </c>
    </row>
    <row r="77" spans="1:1">
      <c r="A77" s="30">
        <v>21795</v>
      </c>
    </row>
    <row r="78" spans="1:1">
      <c r="A78" s="30">
        <v>23145</v>
      </c>
    </row>
    <row r="79" spans="1:1">
      <c r="A79" s="30">
        <v>23696</v>
      </c>
    </row>
    <row r="80" spans="1:1">
      <c r="A80" s="30">
        <v>23666</v>
      </c>
    </row>
    <row r="81" spans="1:1">
      <c r="A81" s="30">
        <v>23841</v>
      </c>
    </row>
    <row r="82" spans="1:1">
      <c r="A82" s="30">
        <v>24322</v>
      </c>
    </row>
    <row r="83" spans="1:1">
      <c r="A83" s="30">
        <v>25073</v>
      </c>
    </row>
    <row r="84" spans="1:1">
      <c r="A84" s="30">
        <v>24808</v>
      </c>
    </row>
    <row r="85" spans="1:1">
      <c r="A85" s="30">
        <v>24869</v>
      </c>
    </row>
    <row r="86" spans="1:1">
      <c r="A86" s="30">
        <v>24719</v>
      </c>
    </row>
    <row r="87" spans="1:1">
      <c r="A87" s="30">
        <v>24457</v>
      </c>
    </row>
    <row r="88" spans="1:1">
      <c r="A88" s="30">
        <v>24651</v>
      </c>
    </row>
    <row r="89" spans="1:1">
      <c r="A89" s="30">
        <v>24926</v>
      </c>
    </row>
    <row r="90" spans="1:1">
      <c r="A90" s="30">
        <v>24115</v>
      </c>
    </row>
    <row r="91" spans="1:1">
      <c r="A91" s="30">
        <v>24136</v>
      </c>
    </row>
    <row r="92" spans="1:1">
      <c r="A92" s="30">
        <v>23485</v>
      </c>
    </row>
    <row r="93" spans="1:1">
      <c r="A93" s="30">
        <v>23360</v>
      </c>
    </row>
    <row r="94" spans="1:1">
      <c r="A94" s="30">
        <v>24140</v>
      </c>
    </row>
    <row r="95" spans="1:1">
      <c r="A95" s="30">
        <v>23947</v>
      </c>
    </row>
    <row r="96" spans="1:1">
      <c r="A96" s="30">
        <v>24082</v>
      </c>
    </row>
    <row r="97" spans="1:1">
      <c r="A97" s="30">
        <v>24710</v>
      </c>
    </row>
    <row r="98" spans="1:1">
      <c r="A98" s="30">
        <v>24622</v>
      </c>
    </row>
    <row r="99" spans="1:1">
      <c r="A99" s="30">
        <v>23995</v>
      </c>
    </row>
    <row r="100" spans="1:1">
      <c r="A100" s="30">
        <v>23638</v>
      </c>
    </row>
    <row r="101" spans="1:1">
      <c r="A101" s="30">
        <v>23979</v>
      </c>
    </row>
    <row r="102" spans="1:1">
      <c r="A102" s="30">
        <v>23811</v>
      </c>
    </row>
    <row r="103" spans="1:1">
      <c r="A103" s="30">
        <v>23884</v>
      </c>
    </row>
    <row r="104" spans="1:1">
      <c r="A104" s="30">
        <v>22972</v>
      </c>
    </row>
    <row r="105" spans="1:1">
      <c r="A105" s="30">
        <v>23540</v>
      </c>
    </row>
    <row r="106" spans="1:1">
      <c r="A106" s="30">
        <v>22653</v>
      </c>
    </row>
    <row r="107" spans="1:1">
      <c r="A107" s="30">
        <v>21582</v>
      </c>
    </row>
    <row r="108" spans="1:1">
      <c r="A108" s="30">
        <v>21226</v>
      </c>
    </row>
    <row r="109" spans="1:1">
      <c r="A109" s="30">
        <v>21373</v>
      </c>
    </row>
    <row r="110" spans="1:1">
      <c r="A110" s="30">
        <v>22002</v>
      </c>
    </row>
    <row r="111" spans="1:1">
      <c r="A111" s="30">
        <v>22255</v>
      </c>
    </row>
    <row r="112" spans="1:1">
      <c r="A112" s="30">
        <v>23268</v>
      </c>
    </row>
    <row r="113" spans="1:1">
      <c r="A113" s="30">
        <v>24315</v>
      </c>
    </row>
    <row r="114" spans="1:1">
      <c r="A114" s="30">
        <v>23682</v>
      </c>
    </row>
    <row r="115" spans="1:1">
      <c r="A115" s="30">
        <v>23255</v>
      </c>
    </row>
    <row r="116" spans="1:1">
      <c r="A116" s="30">
        <v>23936</v>
      </c>
    </row>
    <row r="117" spans="1:1">
      <c r="A117" s="30">
        <v>24438</v>
      </c>
    </row>
    <row r="118" spans="1:1">
      <c r="A118" s="30">
        <v>24363</v>
      </c>
    </row>
    <row r="119" spans="1:1">
      <c r="A119" s="30">
        <v>25360</v>
      </c>
    </row>
    <row r="120" spans="1:1">
      <c r="A120" s="30">
        <v>24413</v>
      </c>
    </row>
    <row r="121" spans="1:1">
      <c r="A121" s="30">
        <v>23838</v>
      </c>
    </row>
    <row r="122" spans="1:1">
      <c r="A122" s="30">
        <v>24318</v>
      </c>
    </row>
    <row r="123" spans="1:1">
      <c r="A123" s="30">
        <v>24648</v>
      </c>
    </row>
    <row r="124" spans="1:1">
      <c r="A124" s="30">
        <v>24046</v>
      </c>
    </row>
    <row r="125" spans="1:1">
      <c r="A125" s="30">
        <v>24021</v>
      </c>
    </row>
    <row r="126" spans="1:1">
      <c r="A126" s="30">
        <v>22947</v>
      </c>
    </row>
    <row r="127" spans="1:1">
      <c r="A127" s="30">
        <v>23091</v>
      </c>
    </row>
    <row r="128" spans="1:1">
      <c r="A128" s="30">
        <v>23234</v>
      </c>
    </row>
    <row r="129" spans="1:1">
      <c r="A129" s="30">
        <v>23312</v>
      </c>
    </row>
    <row r="130" spans="1:1">
      <c r="A130" s="30">
        <v>23887</v>
      </c>
    </row>
    <row r="131" spans="1:1">
      <c r="A131" s="30">
        <v>23262</v>
      </c>
    </row>
    <row r="132" spans="1:1">
      <c r="A132" s="30">
        <v>22572</v>
      </c>
    </row>
    <row r="133" spans="1:1">
      <c r="A133" s="30">
        <v>22897</v>
      </c>
    </row>
    <row r="134" spans="1:1">
      <c r="A134" s="30">
        <v>23649</v>
      </c>
    </row>
    <row r="135" spans="1:1">
      <c r="A135" s="30">
        <v>23739</v>
      </c>
    </row>
    <row r="136" spans="1:1">
      <c r="A136" s="30">
        <v>22971</v>
      </c>
    </row>
    <row r="137" spans="1:1">
      <c r="A137" s="30">
        <v>23374</v>
      </c>
    </row>
    <row r="138" spans="1:1">
      <c r="A138" s="30">
        <v>22803</v>
      </c>
    </row>
    <row r="139" spans="1:1">
      <c r="A139" s="30">
        <v>23751</v>
      </c>
    </row>
    <row r="140" spans="1:1">
      <c r="A140" s="30">
        <v>23748</v>
      </c>
    </row>
    <row r="141" spans="1:1">
      <c r="A141" s="30">
        <v>23797</v>
      </c>
    </row>
    <row r="142" spans="1:1">
      <c r="A142" s="30">
        <v>23616</v>
      </c>
    </row>
    <row r="143" spans="1:1">
      <c r="A143" s="30">
        <v>23690</v>
      </c>
    </row>
    <row r="144" spans="1:1">
      <c r="A144" s="30">
        <v>23135</v>
      </c>
    </row>
    <row r="145" spans="1:1">
      <c r="A145" s="30">
        <v>23936</v>
      </c>
    </row>
    <row r="146" spans="1:1">
      <c r="A146" s="30">
        <v>24380</v>
      </c>
    </row>
    <row r="147" spans="1:1">
      <c r="A147" s="30">
        <v>24324</v>
      </c>
    </row>
    <row r="148" spans="1:1">
      <c r="A148" s="30">
        <v>25172</v>
      </c>
    </row>
    <row r="149" spans="1:1">
      <c r="A149" s="30">
        <v>25391</v>
      </c>
    </row>
    <row r="150" spans="1:1">
      <c r="A150" s="30">
        <v>25367</v>
      </c>
    </row>
    <row r="151" spans="1:1">
      <c r="A151" s="30">
        <v>25179</v>
      </c>
    </row>
    <row r="152" spans="1:1">
      <c r="A152" s="30">
        <v>26059</v>
      </c>
    </row>
    <row r="153" spans="1:1">
      <c r="A153" s="30">
        <v>26488</v>
      </c>
    </row>
    <row r="154" spans="1:1">
      <c r="A154" s="30">
        <v>26426</v>
      </c>
    </row>
    <row r="155" spans="1:1">
      <c r="A155" s="30">
        <v>26680</v>
      </c>
    </row>
    <row r="156" spans="1:1">
      <c r="A156" s="30">
        <v>27149</v>
      </c>
    </row>
    <row r="157" spans="1:1">
      <c r="A157" s="30">
        <v>26751</v>
      </c>
    </row>
    <row r="158" spans="1:1">
      <c r="A158" s="30">
        <v>26760</v>
      </c>
    </row>
    <row r="159" spans="1:1">
      <c r="A159" s="30">
        <v>27197</v>
      </c>
    </row>
    <row r="160" spans="1:1">
      <c r="A160" s="30">
        <v>27497</v>
      </c>
    </row>
    <row r="161" spans="1:1">
      <c r="A161" s="30">
        <v>27661</v>
      </c>
    </row>
    <row r="162" spans="1:1">
      <c r="A162" s="30">
        <v>27878</v>
      </c>
    </row>
    <row r="163" spans="1:1">
      <c r="A163" s="30">
        <v>27852</v>
      </c>
    </row>
    <row r="164" spans="1:1">
      <c r="A164" s="30">
        <v>27961</v>
      </c>
    </row>
    <row r="165" spans="1:1">
      <c r="A165" s="30">
        <v>27739</v>
      </c>
    </row>
    <row r="166" spans="1:1">
      <c r="A166" s="30">
        <v>28042</v>
      </c>
    </row>
    <row r="167" spans="1:1">
      <c r="A167" s="30">
        <v>27169</v>
      </c>
    </row>
    <row r="168" spans="1:1">
      <c r="A168" s="30">
        <v>27454</v>
      </c>
    </row>
    <row r="169" spans="1:1">
      <c r="A169" s="30">
        <v>27816</v>
      </c>
    </row>
    <row r="170" spans="1:1">
      <c r="A170" s="30">
        <v>28648</v>
      </c>
    </row>
    <row r="171" spans="1:1">
      <c r="A171" s="30">
        <v>28506</v>
      </c>
    </row>
    <row r="172" spans="1:1">
      <c r="A172" s="30">
        <v>28415</v>
      </c>
    </row>
    <row r="173" spans="1:1">
      <c r="A173" s="30">
        <v>29268</v>
      </c>
    </row>
    <row r="174" spans="1:1">
      <c r="A174" s="30">
        <v>30140</v>
      </c>
    </row>
    <row r="175" spans="1:1">
      <c r="A175" s="30">
        <v>29526</v>
      </c>
    </row>
    <row r="176" spans="1:1">
      <c r="A176" s="30">
        <v>29591</v>
      </c>
    </row>
    <row r="177" spans="1:1">
      <c r="A177" s="30">
        <v>29379</v>
      </c>
    </row>
    <row r="178" spans="1:1">
      <c r="A178" s="30">
        <v>30310</v>
      </c>
    </row>
    <row r="179" spans="1:1">
      <c r="A179" s="30">
        <v>30351</v>
      </c>
    </row>
    <row r="180" spans="1:1">
      <c r="A180" s="30">
        <v>31715</v>
      </c>
    </row>
    <row r="181" spans="1:1">
      <c r="A181" s="30">
        <v>31739</v>
      </c>
    </row>
    <row r="182" spans="1:1">
      <c r="A182" s="30">
        <v>31832</v>
      </c>
    </row>
    <row r="183" spans="1:1">
      <c r="A183" s="30">
        <v>32722</v>
      </c>
    </row>
    <row r="184" spans="1:1">
      <c r="A184" s="30">
        <v>33254</v>
      </c>
    </row>
    <row r="185" spans="1:1">
      <c r="A185" s="30">
        <v>32302</v>
      </c>
    </row>
    <row r="186" spans="1:1">
      <c r="A186" s="30">
        <v>31571</v>
      </c>
    </row>
    <row r="187" spans="1:1">
      <c r="A187" s="30">
        <v>30969</v>
      </c>
    </row>
    <row r="188" spans="1:1">
      <c r="A188" s="30">
        <v>30846</v>
      </c>
    </row>
    <row r="189" spans="1:1">
      <c r="A189" s="30">
        <v>32098</v>
      </c>
    </row>
    <row r="190" spans="1:1">
      <c r="A190" s="30">
        <v>32189</v>
      </c>
    </row>
    <row r="191" spans="1:1">
      <c r="A191" s="30">
        <v>32954</v>
      </c>
    </row>
    <row r="192" spans="1:1">
      <c r="A192" s="30">
        <v>33919</v>
      </c>
    </row>
    <row r="193" spans="1:1">
      <c r="A193" s="30">
        <v>33670</v>
      </c>
    </row>
    <row r="194" spans="1:1">
      <c r="A194" s="30">
        <v>33055</v>
      </c>
    </row>
    <row r="195" spans="1:1">
      <c r="A195" s="30">
        <v>34396</v>
      </c>
    </row>
    <row r="196" spans="1:1">
      <c r="A196" s="30">
        <v>35099</v>
      </c>
    </row>
    <row r="197" spans="1:1">
      <c r="A197" s="30">
        <v>34064</v>
      </c>
    </row>
    <row r="198" spans="1:1">
      <c r="A198" s="30">
        <v>34643</v>
      </c>
    </row>
    <row r="199" spans="1:1">
      <c r="A199" s="30">
        <v>34811</v>
      </c>
    </row>
    <row r="200" spans="1:1">
      <c r="A200" s="30">
        <v>34165</v>
      </c>
    </row>
    <row r="201" spans="1:1">
      <c r="A201" s="30">
        <v>34477</v>
      </c>
    </row>
    <row r="202" spans="1:1">
      <c r="A202" s="30">
        <v>33914</v>
      </c>
    </row>
    <row r="203" spans="1:1">
      <c r="A203" s="30">
        <v>33837</v>
      </c>
    </row>
  </sheetData>
  <pageMargins left="0.74803149606299213" right="0.74803149606299213" top="0" bottom="0" header="0.51181102362204722" footer="0"/>
  <pageSetup scale="9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E353-2539-40F2-873C-0366300E5F71}">
  <dimension ref="A3:G53"/>
  <sheetViews>
    <sheetView showGridLines="0" topLeftCell="A32" workbookViewId="0">
      <selection activeCell="O50" sqref="O50"/>
    </sheetView>
  </sheetViews>
  <sheetFormatPr defaultColWidth="11.44140625" defaultRowHeight="11.4"/>
  <cols>
    <col min="1" max="1" width="8" style="33" customWidth="1"/>
    <col min="2" max="2" width="8.6640625" style="33" customWidth="1"/>
    <col min="3" max="3" width="9.44140625" style="33" customWidth="1"/>
    <col min="4" max="4" width="7.109375" style="33" customWidth="1"/>
    <col min="5" max="5" width="11.44140625" style="33" customWidth="1"/>
    <col min="6" max="16384" width="11.44140625" style="33"/>
  </cols>
  <sheetData>
    <row r="3" spans="1:7" ht="14.4">
      <c r="A3" s="31" t="s">
        <v>30</v>
      </c>
      <c r="B3" s="32"/>
      <c r="C3" s="32"/>
      <c r="D3" s="32"/>
      <c r="E3" s="32"/>
      <c r="F3" s="32"/>
      <c r="G3" s="32"/>
    </row>
    <row r="4" spans="1:7" ht="14.4">
      <c r="A4" s="31"/>
      <c r="B4" s="32"/>
      <c r="C4" s="32"/>
      <c r="D4" s="32"/>
      <c r="E4" s="32"/>
      <c r="F4" s="32"/>
      <c r="G4" s="32"/>
    </row>
    <row r="5" spans="1:7" ht="14.4">
      <c r="A5" s="34" t="s">
        <v>41</v>
      </c>
      <c r="B5" s="35" t="s">
        <v>31</v>
      </c>
      <c r="C5" s="35" t="s">
        <v>32</v>
      </c>
      <c r="D5" s="35" t="s">
        <v>33</v>
      </c>
      <c r="E5" s="32"/>
      <c r="F5" s="32"/>
      <c r="G5" s="32"/>
    </row>
    <row r="6" spans="1:7" ht="14.4">
      <c r="A6" s="36">
        <v>1953</v>
      </c>
      <c r="B6" s="37">
        <v>0.43540000000000001</v>
      </c>
      <c r="C6" s="37">
        <v>0.53920000000000001</v>
      </c>
      <c r="D6" s="37">
        <v>2.5399999999999999E-2</v>
      </c>
      <c r="E6" s="38"/>
      <c r="F6" s="38"/>
      <c r="G6" s="38"/>
    </row>
    <row r="7" spans="1:7" ht="14.4">
      <c r="A7" s="36">
        <v>1954</v>
      </c>
      <c r="B7" s="37">
        <v>0.42249999999999999</v>
      </c>
      <c r="C7" s="37">
        <v>0.55189999999999995</v>
      </c>
      <c r="D7" s="37">
        <v>2.5600000000000001E-2</v>
      </c>
      <c r="E7" s="38"/>
      <c r="F7" s="38"/>
      <c r="G7" s="38"/>
    </row>
    <row r="8" spans="1:7" ht="14.4">
      <c r="A8" s="36">
        <v>1955</v>
      </c>
      <c r="B8" s="37">
        <v>0.40149999999999997</v>
      </c>
      <c r="C8" s="37">
        <v>0.57369999999999999</v>
      </c>
      <c r="D8" s="37">
        <v>2.4799999999999999E-2</v>
      </c>
      <c r="E8" s="38"/>
      <c r="F8" s="38"/>
      <c r="G8" s="38"/>
    </row>
    <row r="9" spans="1:7" ht="14.4">
      <c r="A9" s="36">
        <v>1956</v>
      </c>
      <c r="B9" s="37">
        <v>0.39360000000000001</v>
      </c>
      <c r="C9" s="37">
        <v>0.58560000000000001</v>
      </c>
      <c r="D9" s="37">
        <v>2.0799999999999999E-2</v>
      </c>
      <c r="E9" s="38"/>
      <c r="F9" s="38"/>
      <c r="G9" s="38"/>
    </row>
    <row r="10" spans="1:7" ht="14.4">
      <c r="A10" s="36">
        <v>1957</v>
      </c>
      <c r="B10" s="37">
        <v>0.35020000000000001</v>
      </c>
      <c r="C10" s="37">
        <v>0.629</v>
      </c>
      <c r="D10" s="37">
        <v>2.0799999999999999E-2</v>
      </c>
      <c r="E10" s="38"/>
      <c r="F10" s="38"/>
      <c r="G10" s="38"/>
    </row>
    <row r="11" spans="1:7" ht="14.4">
      <c r="A11" s="36">
        <v>1958</v>
      </c>
      <c r="B11" s="37">
        <v>0.33960000000000001</v>
      </c>
      <c r="C11" s="37">
        <v>0.63890000000000002</v>
      </c>
      <c r="D11" s="37">
        <v>2.1400000000000002E-2</v>
      </c>
      <c r="E11" s="38"/>
      <c r="F11" s="38"/>
      <c r="G11" s="38"/>
    </row>
    <row r="12" spans="1:7" ht="14.4">
      <c r="A12" s="36">
        <v>1959</v>
      </c>
      <c r="B12" s="37">
        <v>0.32539999999999997</v>
      </c>
      <c r="C12" s="37">
        <v>0.65390000000000004</v>
      </c>
      <c r="D12" s="37">
        <v>2.07E-2</v>
      </c>
      <c r="E12" s="38"/>
      <c r="F12" s="38"/>
      <c r="G12" s="38"/>
    </row>
    <row r="13" spans="1:7" ht="14.4">
      <c r="A13" s="36">
        <v>1960</v>
      </c>
      <c r="B13" s="37">
        <v>0.32939999999999997</v>
      </c>
      <c r="C13" s="37">
        <v>0.6502</v>
      </c>
      <c r="D13" s="37">
        <v>2.0400000000000001E-2</v>
      </c>
      <c r="E13" s="38"/>
      <c r="F13" s="38"/>
      <c r="G13" s="38"/>
    </row>
    <row r="14" spans="1:7" ht="14.4">
      <c r="A14" s="36">
        <v>1961</v>
      </c>
      <c r="B14" s="37">
        <v>0.32659999999999995</v>
      </c>
      <c r="C14" s="37">
        <v>0.6512</v>
      </c>
      <c r="D14" s="37">
        <v>2.2200000000000001E-2</v>
      </c>
      <c r="E14" s="38"/>
      <c r="F14" s="38"/>
      <c r="G14" s="38"/>
    </row>
    <row r="15" spans="1:7" ht="14.4">
      <c r="A15" s="36">
        <v>1962</v>
      </c>
      <c r="B15" s="37">
        <v>0.32770000000000005</v>
      </c>
      <c r="C15" s="37">
        <v>0.64840000000000009</v>
      </c>
      <c r="D15" s="37">
        <v>2.4E-2</v>
      </c>
      <c r="E15" s="38"/>
      <c r="F15" s="38"/>
      <c r="G15" s="38"/>
    </row>
    <row r="16" spans="1:7" ht="14.4">
      <c r="A16" s="36">
        <v>1963</v>
      </c>
      <c r="B16" s="37">
        <v>0.31140000000000001</v>
      </c>
      <c r="C16" s="37">
        <v>0.66469999999999996</v>
      </c>
      <c r="D16" s="37">
        <v>2.3900000000000001E-2</v>
      </c>
      <c r="E16" s="38"/>
      <c r="F16" s="38"/>
      <c r="G16" s="38"/>
    </row>
    <row r="17" spans="1:7" ht="14.4">
      <c r="A17" s="36">
        <v>1964</v>
      </c>
      <c r="B17" s="37">
        <v>0.30820000000000003</v>
      </c>
      <c r="C17" s="37">
        <v>0.66819999999999991</v>
      </c>
      <c r="D17" s="37">
        <v>2.3599999999999999E-2</v>
      </c>
      <c r="E17" s="38"/>
      <c r="F17" s="38"/>
      <c r="G17" s="38"/>
    </row>
    <row r="18" spans="1:7" ht="14.4">
      <c r="A18" s="36">
        <v>1965</v>
      </c>
      <c r="B18" s="37">
        <v>0.32329999999999998</v>
      </c>
      <c r="C18" s="37">
        <v>0.65150000000000008</v>
      </c>
      <c r="D18" s="37">
        <v>2.52E-2</v>
      </c>
      <c r="E18" s="38"/>
      <c r="F18" s="38"/>
      <c r="G18" s="38"/>
    </row>
    <row r="19" spans="1:7" ht="14.4">
      <c r="A19" s="36">
        <v>1966</v>
      </c>
      <c r="B19" s="37">
        <v>0.33210000000000001</v>
      </c>
      <c r="C19" s="37">
        <v>0.64180000000000004</v>
      </c>
      <c r="D19" s="37">
        <v>2.6099999999999998E-2</v>
      </c>
      <c r="E19" s="38"/>
      <c r="F19" s="38"/>
      <c r="G19" s="38"/>
    </row>
    <row r="20" spans="1:7" ht="14.4">
      <c r="A20" s="36">
        <v>1967</v>
      </c>
      <c r="B20" s="37">
        <v>0.34889999999999999</v>
      </c>
      <c r="C20" s="37">
        <v>0.62380000000000002</v>
      </c>
      <c r="D20" s="37">
        <v>2.7300000000000001E-2</v>
      </c>
      <c r="E20" s="38"/>
      <c r="F20" s="38"/>
      <c r="G20" s="38"/>
    </row>
    <row r="21" spans="1:7" ht="14.4">
      <c r="A21" s="36">
        <v>1968</v>
      </c>
      <c r="B21" s="37">
        <v>0.36520000000000002</v>
      </c>
      <c r="C21" s="37">
        <v>0.60670000000000002</v>
      </c>
      <c r="D21" s="37">
        <v>2.8199999999999999E-2</v>
      </c>
      <c r="E21" s="38"/>
      <c r="F21" s="38"/>
      <c r="G21" s="38"/>
    </row>
    <row r="22" spans="1:7" ht="14.4">
      <c r="A22" s="36">
        <v>1969</v>
      </c>
      <c r="B22" s="37">
        <v>0.3851</v>
      </c>
      <c r="C22" s="37">
        <v>0.58579999999999999</v>
      </c>
      <c r="D22" s="37">
        <v>2.9100000000000001E-2</v>
      </c>
      <c r="E22" s="38"/>
      <c r="F22" s="38"/>
      <c r="G22" s="38"/>
    </row>
    <row r="23" spans="1:7" ht="14.4">
      <c r="A23" s="36">
        <v>1970</v>
      </c>
      <c r="B23" s="37">
        <v>0.39770000000000005</v>
      </c>
      <c r="C23" s="37">
        <v>0.57040000000000002</v>
      </c>
      <c r="D23" s="37">
        <v>3.1899999999999998E-2</v>
      </c>
      <c r="E23" s="38"/>
      <c r="F23" s="38"/>
      <c r="G23" s="38"/>
    </row>
    <row r="24" spans="1:7" ht="14.4">
      <c r="A24" s="36">
        <v>1971</v>
      </c>
      <c r="B24" s="37">
        <v>0.40159999999999996</v>
      </c>
      <c r="C24" s="37">
        <v>0.56440000000000001</v>
      </c>
      <c r="D24" s="37">
        <v>3.4000000000000002E-2</v>
      </c>
      <c r="E24" s="38"/>
      <c r="F24" s="38"/>
      <c r="G24" s="38"/>
    </row>
    <row r="25" spans="1:7" ht="14.4">
      <c r="A25" s="36">
        <v>1972</v>
      </c>
      <c r="B25" s="37">
        <v>0.40759999999999996</v>
      </c>
      <c r="C25" s="37">
        <v>0.55810000000000004</v>
      </c>
      <c r="D25" s="37">
        <v>3.4300000000000004E-2</v>
      </c>
      <c r="E25" s="38"/>
      <c r="F25" s="38"/>
      <c r="G25" s="38"/>
    </row>
    <row r="26" spans="1:7" ht="14.4">
      <c r="A26" s="36">
        <v>1973</v>
      </c>
      <c r="B26" s="37">
        <v>0.42969999999999997</v>
      </c>
      <c r="C26" s="37">
        <v>0.53590000000000004</v>
      </c>
      <c r="D26" s="37">
        <v>3.44E-2</v>
      </c>
      <c r="E26" s="38"/>
      <c r="F26" s="38"/>
      <c r="G26" s="38"/>
    </row>
    <row r="27" spans="1:7" ht="14.4">
      <c r="A27" s="36">
        <v>1974</v>
      </c>
      <c r="B27" s="37">
        <v>0.44619999999999999</v>
      </c>
      <c r="C27" s="37">
        <v>0.51819999999999999</v>
      </c>
      <c r="D27" s="37">
        <v>3.56E-2</v>
      </c>
      <c r="E27" s="38"/>
      <c r="F27" s="38"/>
      <c r="G27" s="38"/>
    </row>
    <row r="28" spans="1:7" ht="14.4">
      <c r="A28" s="36">
        <v>1975</v>
      </c>
      <c r="B28" s="37">
        <v>0.44359999999999999</v>
      </c>
      <c r="C28" s="37">
        <v>0.51960000000000006</v>
      </c>
      <c r="D28" s="37">
        <v>3.6799999999999999E-2</v>
      </c>
      <c r="E28" s="38"/>
      <c r="F28" s="38"/>
      <c r="G28" s="38"/>
    </row>
    <row r="29" spans="1:7" ht="14.4">
      <c r="A29" s="36">
        <v>1976</v>
      </c>
      <c r="B29" s="37">
        <v>0.44890000000000002</v>
      </c>
      <c r="C29" s="37">
        <v>0.51460000000000006</v>
      </c>
      <c r="D29" s="37">
        <v>3.6499999999999998E-2</v>
      </c>
      <c r="E29" s="38"/>
      <c r="F29" s="38"/>
      <c r="G29" s="38"/>
    </row>
    <row r="30" spans="1:7" ht="14.4">
      <c r="A30" s="36">
        <v>1977</v>
      </c>
      <c r="B30" s="37">
        <v>0.45240000000000002</v>
      </c>
      <c r="C30" s="37">
        <v>0.51019999999999999</v>
      </c>
      <c r="D30" s="37">
        <v>3.7400000000000003E-2</v>
      </c>
      <c r="E30" s="38"/>
      <c r="F30" s="38"/>
      <c r="G30" s="38"/>
    </row>
    <row r="31" spans="1:7" ht="14.4">
      <c r="A31" s="36">
        <v>1978</v>
      </c>
      <c r="B31" s="37">
        <v>0.46039999999999998</v>
      </c>
      <c r="C31" s="37">
        <v>0.50170000000000003</v>
      </c>
      <c r="D31" s="37">
        <v>3.7900000000000003E-2</v>
      </c>
      <c r="E31" s="38"/>
      <c r="F31" s="38"/>
      <c r="G31" s="38"/>
    </row>
    <row r="32" spans="1:7" ht="14.4">
      <c r="A32" s="36">
        <v>1979</v>
      </c>
      <c r="B32" s="37">
        <v>0.47060000000000002</v>
      </c>
      <c r="C32" s="37">
        <v>0.49229999999999996</v>
      </c>
      <c r="D32" s="37">
        <v>3.7100000000000001E-2</v>
      </c>
      <c r="E32" s="38"/>
      <c r="F32" s="38"/>
      <c r="G32" s="38"/>
    </row>
    <row r="33" spans="1:7" ht="14.4">
      <c r="A33" s="36">
        <v>1980</v>
      </c>
      <c r="B33" s="37">
        <v>0.48880000000000001</v>
      </c>
      <c r="C33" s="37">
        <v>0.47470000000000001</v>
      </c>
      <c r="D33" s="37">
        <v>3.6499999999999998E-2</v>
      </c>
      <c r="E33" s="38"/>
      <c r="F33" s="38"/>
      <c r="G33" s="38"/>
    </row>
    <row r="34" spans="1:7" ht="14.4">
      <c r="A34" s="36">
        <v>1981</v>
      </c>
      <c r="B34" s="37">
        <v>0.49740000000000001</v>
      </c>
      <c r="C34" s="37">
        <v>0.46649999999999997</v>
      </c>
      <c r="D34" s="37">
        <v>3.6000000000000004E-2</v>
      </c>
      <c r="E34" s="38"/>
      <c r="F34" s="38"/>
      <c r="G34" s="38"/>
    </row>
    <row r="35" spans="1:7" ht="14.4">
      <c r="A35" s="36">
        <v>1982</v>
      </c>
      <c r="B35" s="37">
        <v>0.50329999999999997</v>
      </c>
      <c r="C35" s="37">
        <v>0.46049999999999996</v>
      </c>
      <c r="D35" s="37">
        <v>3.61E-2</v>
      </c>
      <c r="E35" s="38"/>
      <c r="F35" s="38"/>
      <c r="G35" s="38"/>
    </row>
    <row r="36" spans="1:7" ht="14.4">
      <c r="A36" s="36">
        <v>1983</v>
      </c>
      <c r="B36" s="37">
        <v>0.50249999999999995</v>
      </c>
      <c r="C36" s="37">
        <v>0.46159999999999995</v>
      </c>
      <c r="D36" s="37">
        <v>3.5900000000000001E-2</v>
      </c>
      <c r="E36" s="38"/>
      <c r="F36" s="38"/>
      <c r="G36" s="38"/>
    </row>
    <row r="37" spans="1:7" ht="14.4">
      <c r="A37" s="36">
        <v>1984</v>
      </c>
      <c r="B37" s="37">
        <v>0.50990000000000002</v>
      </c>
      <c r="C37" s="37">
        <v>0.45500000000000002</v>
      </c>
      <c r="D37" s="37">
        <v>3.5000000000000003E-2</v>
      </c>
      <c r="E37" s="38"/>
      <c r="F37" s="38"/>
      <c r="G37" s="38"/>
    </row>
    <row r="38" spans="1:7" ht="14.4">
      <c r="A38" s="36">
        <v>1985</v>
      </c>
      <c r="B38" s="37">
        <v>0.505</v>
      </c>
      <c r="C38" s="37">
        <v>0.45960000000000001</v>
      </c>
      <c r="D38" s="37">
        <v>3.5400000000000001E-2</v>
      </c>
      <c r="E38" s="38"/>
      <c r="F38" s="38"/>
      <c r="G38" s="38"/>
    </row>
    <row r="39" spans="1:7" ht="14.4">
      <c r="A39" s="36">
        <v>1986</v>
      </c>
      <c r="B39" s="37">
        <v>0.50680000000000003</v>
      </c>
      <c r="C39" s="37">
        <v>0.4546</v>
      </c>
      <c r="D39" s="37">
        <v>3.85E-2</v>
      </c>
      <c r="E39" s="38"/>
      <c r="F39" s="38"/>
      <c r="G39" s="38"/>
    </row>
    <row r="40" spans="1:7" ht="14.4">
      <c r="A40" s="36">
        <v>1987</v>
      </c>
      <c r="B40" s="37">
        <v>0.4955</v>
      </c>
      <c r="C40" s="37">
        <v>0.46360000000000001</v>
      </c>
      <c r="D40" s="37">
        <v>4.0999999999999995E-2</v>
      </c>
      <c r="E40" s="38"/>
      <c r="F40" s="38"/>
      <c r="G40" s="38"/>
    </row>
    <row r="41" spans="1:7" ht="14.4">
      <c r="A41" s="36">
        <v>1988</v>
      </c>
      <c r="B41" s="37">
        <v>0.50759999999999994</v>
      </c>
      <c r="C41" s="37">
        <v>0.44929999999999998</v>
      </c>
      <c r="D41" s="37">
        <v>4.3099999999999999E-2</v>
      </c>
      <c r="E41" s="38"/>
      <c r="F41" s="38"/>
      <c r="G41" s="38"/>
    </row>
    <row r="42" spans="1:7" ht="14.4">
      <c r="A42" s="36">
        <v>1989</v>
      </c>
      <c r="B42" s="37">
        <v>0.5282</v>
      </c>
      <c r="C42" s="37">
        <v>0.42619999999999997</v>
      </c>
      <c r="D42" s="37">
        <v>4.5499999999999999E-2</v>
      </c>
      <c r="E42" s="38"/>
      <c r="F42" s="38"/>
      <c r="G42" s="38"/>
    </row>
    <row r="43" spans="1:7" ht="14.4">
      <c r="A43" s="36">
        <v>1990</v>
      </c>
      <c r="B43" s="37">
        <v>0.54720000000000002</v>
      </c>
      <c r="C43" s="37">
        <v>0.40560000000000002</v>
      </c>
      <c r="D43" s="37">
        <v>4.7199999999999999E-2</v>
      </c>
      <c r="E43" s="38"/>
      <c r="F43" s="38"/>
      <c r="G43" s="38"/>
    </row>
    <row r="44" spans="1:7" ht="14.4">
      <c r="A44" s="36">
        <v>1991</v>
      </c>
      <c r="B44" s="37">
        <v>0.5736</v>
      </c>
      <c r="C44" s="37">
        <v>0.37799999999999995</v>
      </c>
      <c r="D44" s="37">
        <v>4.8399999999999999E-2</v>
      </c>
      <c r="E44" s="38"/>
      <c r="F44" s="38"/>
      <c r="G44" s="38"/>
    </row>
    <row r="45" spans="1:7" ht="14.4">
      <c r="A45" s="36">
        <v>1992</v>
      </c>
      <c r="B45" s="37">
        <v>0.58189999999999997</v>
      </c>
      <c r="C45" s="37">
        <v>0.36840000000000006</v>
      </c>
      <c r="D45" s="37">
        <v>4.9599999999999998E-2</v>
      </c>
      <c r="E45" s="38"/>
      <c r="F45" s="38"/>
      <c r="G45" s="38"/>
    </row>
    <row r="46" spans="1:7" ht="14.4">
      <c r="A46" s="36">
        <v>1993</v>
      </c>
      <c r="B46" s="37">
        <v>0.58260000000000001</v>
      </c>
      <c r="C46" s="37">
        <v>0.36520000000000002</v>
      </c>
      <c r="D46" s="37">
        <v>5.2199999999999996E-2</v>
      </c>
      <c r="E46" s="38"/>
      <c r="F46" s="38"/>
      <c r="G46" s="38"/>
    </row>
    <row r="47" spans="1:7" ht="14.4">
      <c r="A47" s="36">
        <v>1994</v>
      </c>
      <c r="B47" s="37">
        <v>0.58630000000000004</v>
      </c>
      <c r="C47" s="37">
        <v>0.35920000000000002</v>
      </c>
      <c r="D47" s="37">
        <v>5.45E-2</v>
      </c>
      <c r="E47" s="38"/>
      <c r="F47" s="38"/>
      <c r="G47" s="38"/>
    </row>
    <row r="48" spans="1:7" ht="14.4">
      <c r="A48" s="36">
        <v>1995</v>
      </c>
      <c r="B48" s="37">
        <v>0.6038</v>
      </c>
      <c r="C48" s="37">
        <v>0.34289999999999998</v>
      </c>
      <c r="D48" s="37">
        <v>5.33E-2</v>
      </c>
      <c r="E48" s="38"/>
      <c r="F48" s="38"/>
      <c r="G48" s="38"/>
    </row>
    <row r="49" spans="1:7" ht="14.4">
      <c r="A49" s="36">
        <v>1996</v>
      </c>
      <c r="B49" s="37">
        <v>0.62539999999999996</v>
      </c>
      <c r="C49" s="37">
        <v>0.32119999999999999</v>
      </c>
      <c r="D49" s="37">
        <v>5.33E-2</v>
      </c>
      <c r="E49" s="38"/>
      <c r="F49" s="38"/>
      <c r="G49" s="38"/>
    </row>
    <row r="50" spans="1:7" ht="14.4">
      <c r="A50" s="36">
        <v>1997</v>
      </c>
      <c r="B50" s="37">
        <v>0.64150000000000007</v>
      </c>
      <c r="C50" s="37">
        <v>0.30499999999999999</v>
      </c>
      <c r="D50" s="37">
        <v>5.3499999999999999E-2</v>
      </c>
      <c r="E50" s="38"/>
      <c r="F50" s="38"/>
      <c r="G50" s="38"/>
    </row>
    <row r="51" spans="1:7" ht="14.4">
      <c r="A51" s="36">
        <v>1998</v>
      </c>
      <c r="B51" s="37">
        <v>0.65180000000000005</v>
      </c>
      <c r="C51" s="37">
        <v>0.29460000000000003</v>
      </c>
      <c r="D51" s="37">
        <v>5.3699999999999998E-2</v>
      </c>
      <c r="E51" s="38"/>
      <c r="F51" s="38"/>
      <c r="G51" s="38"/>
    </row>
    <row r="52" spans="1:7" ht="14.4">
      <c r="A52" s="36">
        <v>1999</v>
      </c>
      <c r="B52" s="37">
        <v>0.66930000000000012</v>
      </c>
      <c r="C52" s="37">
        <v>0.27729999999999999</v>
      </c>
      <c r="D52" s="37">
        <v>5.3399999999999996E-2</v>
      </c>
      <c r="E52" s="38"/>
      <c r="F52" s="38"/>
      <c r="G52" s="38"/>
    </row>
    <row r="53" spans="1:7" ht="14.4">
      <c r="A53" s="36">
        <v>2000</v>
      </c>
      <c r="B53" s="37">
        <v>0.68409999999999993</v>
      </c>
      <c r="C53" s="37">
        <v>0.2631</v>
      </c>
      <c r="D53" s="37">
        <v>5.2699999999999997E-2</v>
      </c>
      <c r="E53" s="38"/>
      <c r="F53" s="38"/>
      <c r="G53" s="38"/>
    </row>
  </sheetData>
  <pageMargins left="0.75" right="0.75" top="1" bottom="1" header="0.5" footer="0.5"/>
  <pageSetup paperSize="0" orientation="portrait" horizontalDpi="4294967292" verticalDpi="4294967292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E34A-43D0-46EC-A693-7809B0C15B75}">
  <dimension ref="A3:B7"/>
  <sheetViews>
    <sheetView showGridLines="0" workbookViewId="0">
      <selection activeCell="E12" sqref="E12"/>
    </sheetView>
  </sheetViews>
  <sheetFormatPr defaultColWidth="9.109375" defaultRowHeight="14.4"/>
  <cols>
    <col min="1" max="1" width="14.5546875" style="2" customWidth="1"/>
    <col min="2" max="2" width="19.44140625" style="2" customWidth="1"/>
    <col min="3" max="16384" width="9.109375" style="2"/>
  </cols>
  <sheetData>
    <row r="3" spans="1:2">
      <c r="A3" s="39" t="s">
        <v>34</v>
      </c>
      <c r="B3" s="40" t="s">
        <v>35</v>
      </c>
    </row>
    <row r="4" spans="1:2">
      <c r="A4" s="41" t="s">
        <v>117</v>
      </c>
      <c r="B4" s="42">
        <v>189</v>
      </c>
    </row>
    <row r="5" spans="1:2">
      <c r="A5" s="41" t="s">
        <v>118</v>
      </c>
      <c r="B5" s="42">
        <v>1082</v>
      </c>
    </row>
    <row r="6" spans="1:2">
      <c r="A6" s="41" t="s">
        <v>119</v>
      </c>
      <c r="B6" s="42">
        <v>612</v>
      </c>
    </row>
    <row r="7" spans="1:2">
      <c r="A7" s="43" t="s">
        <v>120</v>
      </c>
      <c r="B7" s="44">
        <v>373</v>
      </c>
    </row>
  </sheetData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077D-E574-40A8-A2A8-48A3DD1F7153}">
  <dimension ref="A1:D49"/>
  <sheetViews>
    <sheetView topLeftCell="A26" workbookViewId="0">
      <selection activeCell="Q30" sqref="Q30"/>
    </sheetView>
  </sheetViews>
  <sheetFormatPr defaultRowHeight="14.4"/>
  <cols>
    <col min="1" max="1" width="17.5546875" bestFit="1" customWidth="1"/>
    <col min="2" max="2" width="9.77734375" customWidth="1"/>
    <col min="3" max="3" width="14.109375" customWidth="1"/>
    <col min="4" max="4" width="12.5546875" bestFit="1" customWidth="1"/>
  </cols>
  <sheetData>
    <row r="1" spans="1:4">
      <c r="A1" s="16" t="s">
        <v>12</v>
      </c>
      <c r="B1" s="92"/>
      <c r="C1" s="16"/>
      <c r="D1" s="16"/>
    </row>
    <row r="2" spans="1:4" ht="15" thickBot="1">
      <c r="A2" s="16"/>
      <c r="B2" s="92"/>
      <c r="C2" s="16"/>
      <c r="D2" s="16"/>
    </row>
    <row r="3" spans="1:4">
      <c r="A3" s="18" t="s">
        <v>2</v>
      </c>
      <c r="B3" s="19" t="s">
        <v>13</v>
      </c>
      <c r="C3" s="19" t="s">
        <v>14</v>
      </c>
      <c r="D3" s="20" t="s">
        <v>15</v>
      </c>
    </row>
    <row r="4" spans="1:4">
      <c r="A4" s="21" t="s">
        <v>16</v>
      </c>
      <c r="B4" s="22">
        <v>31256</v>
      </c>
      <c r="C4" s="23">
        <v>13823</v>
      </c>
      <c r="D4" s="93">
        <v>1.2999999999999999E-2</v>
      </c>
    </row>
    <row r="5" spans="1:4">
      <c r="A5" s="21" t="s">
        <v>17</v>
      </c>
      <c r="B5" s="22">
        <v>25019</v>
      </c>
      <c r="C5" s="23">
        <v>19127</v>
      </c>
      <c r="D5" s="93">
        <v>0.02</v>
      </c>
    </row>
    <row r="6" spans="1:4">
      <c r="A6" s="21" t="s">
        <v>18</v>
      </c>
      <c r="B6" s="22">
        <v>27692</v>
      </c>
      <c r="C6" s="23">
        <v>18647</v>
      </c>
      <c r="D6" s="93">
        <v>1.0999999999999999E-2</v>
      </c>
    </row>
    <row r="7" spans="1:4">
      <c r="A7" s="21" t="s">
        <v>19</v>
      </c>
      <c r="B7" s="22">
        <v>28333</v>
      </c>
      <c r="C7" s="23">
        <v>18050</v>
      </c>
      <c r="D7" s="93">
        <v>1.7500000000000002E-2</v>
      </c>
    </row>
    <row r="8" spans="1:4">
      <c r="A8" s="21" t="s">
        <v>10</v>
      </c>
      <c r="B8" s="22">
        <v>34419</v>
      </c>
      <c r="C8" s="23">
        <v>12793</v>
      </c>
      <c r="D8" s="93">
        <v>1.2E-2</v>
      </c>
    </row>
    <row r="9" spans="1:4">
      <c r="A9" s="21" t="s">
        <v>20</v>
      </c>
      <c r="B9" s="22">
        <v>29706</v>
      </c>
      <c r="C9" s="23">
        <v>17006</v>
      </c>
      <c r="D9" s="93">
        <v>2.3E-2</v>
      </c>
    </row>
    <row r="10" spans="1:4">
      <c r="A10" s="21" t="s">
        <v>21</v>
      </c>
      <c r="B10" s="22">
        <v>39233</v>
      </c>
      <c r="C10" s="23">
        <v>11867</v>
      </c>
      <c r="D10" s="93">
        <v>3.1E-2</v>
      </c>
    </row>
    <row r="11" spans="1:4">
      <c r="A11" s="21" t="s">
        <v>22</v>
      </c>
      <c r="B11" s="22">
        <v>28154</v>
      </c>
      <c r="C11" s="23">
        <v>10225</v>
      </c>
      <c r="D11" s="93">
        <v>4.2000000000000003E-2</v>
      </c>
    </row>
    <row r="12" spans="1:4">
      <c r="A12" s="21" t="s">
        <v>23</v>
      </c>
      <c r="B12" s="22">
        <v>27386</v>
      </c>
      <c r="C12" s="23">
        <v>13842</v>
      </c>
      <c r="D12" s="93">
        <v>2.3E-2</v>
      </c>
    </row>
    <row r="13" spans="1:4">
      <c r="A13" s="21" t="s">
        <v>24</v>
      </c>
      <c r="B13" s="22">
        <v>33320</v>
      </c>
      <c r="C13" s="23">
        <v>14610</v>
      </c>
      <c r="D13" s="93">
        <v>1.0999999999999999E-2</v>
      </c>
    </row>
    <row r="14" spans="1:4">
      <c r="A14" s="21" t="s">
        <v>25</v>
      </c>
      <c r="B14" s="22">
        <v>25418</v>
      </c>
      <c r="C14" s="23">
        <v>14096</v>
      </c>
      <c r="D14" s="93">
        <v>3.2000000000000001E-2</v>
      </c>
    </row>
    <row r="15" spans="1:4" ht="15" thickBot="1">
      <c r="A15" s="25" t="s">
        <v>26</v>
      </c>
      <c r="B15" s="26">
        <v>30132</v>
      </c>
      <c r="C15" s="27">
        <v>13629</v>
      </c>
      <c r="D15" s="94">
        <v>2.9000000000000001E-2</v>
      </c>
    </row>
    <row r="36" spans="1:4" ht="15" thickBot="1"/>
    <row r="37" spans="1:4">
      <c r="A37" s="18" t="s">
        <v>2</v>
      </c>
      <c r="B37" s="19" t="s">
        <v>13</v>
      </c>
      <c r="C37" t="s">
        <v>121</v>
      </c>
      <c r="D37" t="s">
        <v>122</v>
      </c>
    </row>
    <row r="38" spans="1:4">
      <c r="A38" s="21" t="s">
        <v>16</v>
      </c>
      <c r="B38" s="22">
        <v>31256</v>
      </c>
      <c r="C38" t="str">
        <f>IF(MAX($B$38:$B$49)=B38,B38,"")</f>
        <v/>
      </c>
      <c r="D38" t="str">
        <f>IF(MIN($B$38:$B$49)=B38,B38,"")</f>
        <v/>
      </c>
    </row>
    <row r="39" spans="1:4">
      <c r="A39" s="21" t="s">
        <v>17</v>
      </c>
      <c r="B39" s="22">
        <v>25019</v>
      </c>
      <c r="C39" t="str">
        <f t="shared" ref="C39:C49" si="0">IF(MAX($B$38:$B$49)=B39,B39,"")</f>
        <v/>
      </c>
      <c r="D39">
        <f t="shared" ref="D39:D49" si="1">IF(MIN($B$38:$B$49)=B39,B39,"")</f>
        <v>25019</v>
      </c>
    </row>
    <row r="40" spans="1:4">
      <c r="A40" s="21" t="s">
        <v>18</v>
      </c>
      <c r="B40" s="22">
        <v>27692</v>
      </c>
      <c r="C40" t="str">
        <f t="shared" si="0"/>
        <v/>
      </c>
      <c r="D40" t="str">
        <f t="shared" si="1"/>
        <v/>
      </c>
    </row>
    <row r="41" spans="1:4">
      <c r="A41" s="21" t="s">
        <v>19</v>
      </c>
      <c r="B41" s="22">
        <v>28333</v>
      </c>
      <c r="C41" t="str">
        <f t="shared" si="0"/>
        <v/>
      </c>
      <c r="D41" t="str">
        <f t="shared" si="1"/>
        <v/>
      </c>
    </row>
    <row r="42" spans="1:4">
      <c r="A42" s="21" t="s">
        <v>10</v>
      </c>
      <c r="B42" s="22">
        <v>34419</v>
      </c>
      <c r="C42" t="str">
        <f t="shared" si="0"/>
        <v/>
      </c>
      <c r="D42" t="str">
        <f t="shared" si="1"/>
        <v/>
      </c>
    </row>
    <row r="43" spans="1:4">
      <c r="A43" s="21" t="s">
        <v>20</v>
      </c>
      <c r="B43" s="22">
        <v>29706</v>
      </c>
      <c r="C43" t="str">
        <f t="shared" si="0"/>
        <v/>
      </c>
      <c r="D43" t="str">
        <f t="shared" si="1"/>
        <v/>
      </c>
    </row>
    <row r="44" spans="1:4">
      <c r="A44" s="21" t="s">
        <v>21</v>
      </c>
      <c r="B44" s="22">
        <v>39233</v>
      </c>
      <c r="C44">
        <f t="shared" si="0"/>
        <v>39233</v>
      </c>
      <c r="D44" t="str">
        <f t="shared" si="1"/>
        <v/>
      </c>
    </row>
    <row r="45" spans="1:4">
      <c r="A45" s="21" t="s">
        <v>22</v>
      </c>
      <c r="B45" s="22">
        <v>28154</v>
      </c>
      <c r="C45" t="str">
        <f t="shared" si="0"/>
        <v/>
      </c>
      <c r="D45" t="str">
        <f t="shared" si="1"/>
        <v/>
      </c>
    </row>
    <row r="46" spans="1:4">
      <c r="A46" s="21" t="s">
        <v>23</v>
      </c>
      <c r="B46" s="22">
        <v>27386</v>
      </c>
      <c r="C46" t="str">
        <f t="shared" si="0"/>
        <v/>
      </c>
      <c r="D46" t="str">
        <f t="shared" si="1"/>
        <v/>
      </c>
    </row>
    <row r="47" spans="1:4">
      <c r="A47" s="21" t="s">
        <v>24</v>
      </c>
      <c r="B47" s="22">
        <v>33320</v>
      </c>
      <c r="C47" t="str">
        <f t="shared" si="0"/>
        <v/>
      </c>
      <c r="D47" t="str">
        <f t="shared" si="1"/>
        <v/>
      </c>
    </row>
    <row r="48" spans="1:4">
      <c r="A48" s="21" t="s">
        <v>25</v>
      </c>
      <c r="B48" s="22">
        <v>25418</v>
      </c>
      <c r="C48" t="str">
        <f t="shared" si="0"/>
        <v/>
      </c>
      <c r="D48" t="str">
        <f t="shared" si="1"/>
        <v/>
      </c>
    </row>
    <row r="49" spans="1:4" ht="15" thickBot="1">
      <c r="A49" s="25" t="s">
        <v>26</v>
      </c>
      <c r="B49" s="26">
        <v>30132</v>
      </c>
      <c r="C49" t="str">
        <f t="shared" si="0"/>
        <v/>
      </c>
      <c r="D49" t="str">
        <f t="shared" si="1"/>
        <v/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583D-A83F-49F5-B0A1-1E96FADF80E3}">
  <dimension ref="A1:D3"/>
  <sheetViews>
    <sheetView showGridLines="0" zoomScaleNormal="100" workbookViewId="0">
      <selection activeCell="N38" sqref="N38"/>
    </sheetView>
  </sheetViews>
  <sheetFormatPr defaultColWidth="9.109375" defaultRowHeight="14.4"/>
  <cols>
    <col min="1" max="1" width="16" style="48" bestFit="1" customWidth="1"/>
    <col min="2" max="16384" width="9.109375" style="48"/>
  </cols>
  <sheetData>
    <row r="1" spans="1:4">
      <c r="A1" s="45" t="s">
        <v>36</v>
      </c>
      <c r="B1" s="46">
        <v>0.56000000000000005</v>
      </c>
      <c r="C1" s="47">
        <f>1-B1</f>
        <v>0.43999999999999995</v>
      </c>
      <c r="D1" s="47">
        <f>B1+C1</f>
        <v>1</v>
      </c>
    </row>
    <row r="2" spans="1:4">
      <c r="A2" s="45" t="s">
        <v>37</v>
      </c>
      <c r="B2" s="46">
        <v>0.34</v>
      </c>
      <c r="C2" s="47">
        <f>1-B2</f>
        <v>0.65999999999999992</v>
      </c>
      <c r="D2" s="47">
        <f>B2+C2</f>
        <v>1</v>
      </c>
    </row>
    <row r="3" spans="1:4">
      <c r="A3" s="45" t="s">
        <v>38</v>
      </c>
      <c r="B3" s="46">
        <v>0.56999999999999995</v>
      </c>
      <c r="C3" s="47">
        <f>1-B3</f>
        <v>0.43000000000000005</v>
      </c>
      <c r="D3" s="47">
        <f>B3+C3</f>
        <v>1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045F9-2050-4C6D-8429-F411105E767E}">
  <dimension ref="A1:C3"/>
  <sheetViews>
    <sheetView showGridLines="0" workbookViewId="0">
      <selection activeCell="N38" sqref="N38"/>
    </sheetView>
  </sheetViews>
  <sheetFormatPr defaultColWidth="9.109375" defaultRowHeight="14.4"/>
  <cols>
    <col min="1" max="1" width="17.6640625" style="48" bestFit="1" customWidth="1"/>
    <col min="2" max="2" width="7.6640625" style="48" customWidth="1"/>
    <col min="3" max="16384" width="9.109375" style="48"/>
  </cols>
  <sheetData>
    <row r="1" spans="1:3">
      <c r="A1" s="45" t="s">
        <v>36</v>
      </c>
      <c r="B1" s="46">
        <v>0.89</v>
      </c>
      <c r="C1" s="49">
        <f>1-B1</f>
        <v>0.10999999999999999</v>
      </c>
    </row>
    <row r="2" spans="1:3">
      <c r="A2" s="45" t="s">
        <v>39</v>
      </c>
      <c r="B2" s="46">
        <v>0.67</v>
      </c>
      <c r="C2" s="49">
        <f>1-B2</f>
        <v>0.32999999999999996</v>
      </c>
    </row>
    <row r="3" spans="1:3">
      <c r="A3" s="45" t="s">
        <v>40</v>
      </c>
      <c r="B3" s="46">
        <v>0.67</v>
      </c>
      <c r="C3" s="49">
        <f>1-B3</f>
        <v>0.32999999999999996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32E3-2FAE-490D-B04D-62F82FD7DF82}">
  <dimension ref="A4:C9"/>
  <sheetViews>
    <sheetView showGridLines="0" zoomScale="50" zoomScaleNormal="50" workbookViewId="0">
      <selection activeCell="D23" sqref="D23"/>
    </sheetView>
  </sheetViews>
  <sheetFormatPr defaultColWidth="9.109375" defaultRowHeight="14.4"/>
  <cols>
    <col min="1" max="1" width="10.109375" style="2" customWidth="1"/>
    <col min="2" max="2" width="10.44140625" style="2" customWidth="1"/>
    <col min="3" max="3" width="12" style="2" customWidth="1"/>
    <col min="4" max="16384" width="9.109375" style="2"/>
  </cols>
  <sheetData>
    <row r="4" spans="1:3">
      <c r="A4" s="50" t="s">
        <v>2</v>
      </c>
      <c r="B4" s="51" t="s">
        <v>43</v>
      </c>
      <c r="C4" s="52" t="s">
        <v>44</v>
      </c>
    </row>
    <row r="5" spans="1:3">
      <c r="A5" s="53" t="s">
        <v>6</v>
      </c>
      <c r="B5" s="54">
        <v>60983</v>
      </c>
      <c r="C5" s="55">
        <v>64983</v>
      </c>
    </row>
    <row r="6" spans="1:3">
      <c r="A6" s="53" t="s">
        <v>7</v>
      </c>
      <c r="B6" s="54">
        <v>56732</v>
      </c>
      <c r="C6" s="55">
        <v>68981</v>
      </c>
    </row>
    <row r="7" spans="1:3">
      <c r="A7" s="53" t="s">
        <v>8</v>
      </c>
      <c r="B7" s="54">
        <v>49831</v>
      </c>
      <c r="C7" s="55">
        <v>77398</v>
      </c>
    </row>
    <row r="8" spans="1:3">
      <c r="A8" s="53" t="s">
        <v>9</v>
      </c>
      <c r="B8" s="54">
        <v>43323</v>
      </c>
      <c r="C8" s="55">
        <v>88091</v>
      </c>
    </row>
    <row r="9" spans="1:3">
      <c r="A9" s="56" t="s">
        <v>10</v>
      </c>
      <c r="B9" s="56">
        <v>39879</v>
      </c>
      <c r="C9" s="57">
        <v>93733</v>
      </c>
    </row>
  </sheetData>
  <pageMargins left="0.75" right="0.75" top="1" bottom="1" header="0.5" footer="0.5"/>
  <headerFooter alignWithMargins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12396-BF88-4C86-96D6-75EC03A4485B}">
  <dimension ref="A3:G20"/>
  <sheetViews>
    <sheetView showGridLines="0" zoomScale="80" zoomScaleNormal="80" workbookViewId="0">
      <selection activeCell="D23" sqref="D23"/>
    </sheetView>
  </sheetViews>
  <sheetFormatPr defaultColWidth="9.109375" defaultRowHeight="14.4"/>
  <cols>
    <col min="1" max="1" width="32.33203125" style="2" customWidth="1"/>
    <col min="2" max="3" width="11.6640625" style="2" customWidth="1"/>
    <col min="4" max="4" width="12.88671875" style="2" customWidth="1"/>
    <col min="5" max="6" width="11.6640625" style="2" customWidth="1"/>
    <col min="7" max="16384" width="9.109375" style="2"/>
  </cols>
  <sheetData>
    <row r="3" spans="1:7" ht="28.8">
      <c r="A3" s="58" t="s">
        <v>45</v>
      </c>
      <c r="B3" s="6" t="s">
        <v>46</v>
      </c>
      <c r="C3" s="59" t="s">
        <v>47</v>
      </c>
      <c r="D3" s="59" t="s">
        <v>48</v>
      </c>
      <c r="E3" s="59" t="s">
        <v>49</v>
      </c>
      <c r="F3" s="7" t="s">
        <v>50</v>
      </c>
    </row>
    <row r="4" spans="1:7">
      <c r="A4" s="41" t="s">
        <v>51</v>
      </c>
      <c r="B4" s="60">
        <v>0.12</v>
      </c>
      <c r="C4" s="60">
        <v>0.14000000000000001</v>
      </c>
      <c r="D4" s="60">
        <v>0.21</v>
      </c>
      <c r="E4" s="60">
        <v>0.21</v>
      </c>
      <c r="F4" s="61">
        <v>0.32</v>
      </c>
      <c r="G4" s="62"/>
    </row>
    <row r="5" spans="1:7">
      <c r="A5" s="41" t="s">
        <v>52</v>
      </c>
      <c r="B5" s="60">
        <v>0.15</v>
      </c>
      <c r="C5" s="60">
        <v>0.18</v>
      </c>
      <c r="D5" s="60">
        <v>0.24</v>
      </c>
      <c r="E5" s="60">
        <v>0.28999999999999998</v>
      </c>
      <c r="F5" s="61">
        <v>0.14000000000000001</v>
      </c>
      <c r="G5" s="62"/>
    </row>
    <row r="6" spans="1:7">
      <c r="A6" s="41" t="s">
        <v>53</v>
      </c>
      <c r="B6" s="60">
        <v>0.09</v>
      </c>
      <c r="C6" s="60">
        <v>0.11</v>
      </c>
      <c r="D6" s="60">
        <v>0.32</v>
      </c>
      <c r="E6" s="60">
        <v>0.31</v>
      </c>
      <c r="F6" s="61">
        <v>0.17</v>
      </c>
      <c r="G6" s="62"/>
    </row>
    <row r="7" spans="1:7">
      <c r="A7" s="41" t="s">
        <v>54</v>
      </c>
      <c r="B7" s="60">
        <v>0.18</v>
      </c>
      <c r="C7" s="60">
        <v>0.32</v>
      </c>
      <c r="D7" s="60">
        <v>0.32</v>
      </c>
      <c r="E7" s="60">
        <v>0.12</v>
      </c>
      <c r="F7" s="61">
        <v>0.08</v>
      </c>
      <c r="G7" s="62"/>
    </row>
    <row r="8" spans="1:7">
      <c r="A8" s="41" t="s">
        <v>55</v>
      </c>
      <c r="B8" s="60">
        <v>0.02</v>
      </c>
      <c r="C8" s="60">
        <v>0.06</v>
      </c>
      <c r="D8" s="60">
        <v>0.32</v>
      </c>
      <c r="E8" s="60">
        <v>0.43</v>
      </c>
      <c r="F8" s="61">
        <v>0.17</v>
      </c>
      <c r="G8" s="62"/>
    </row>
    <row r="9" spans="1:7">
      <c r="A9" s="41" t="s">
        <v>56</v>
      </c>
      <c r="B9" s="60">
        <v>0.16</v>
      </c>
      <c r="C9" s="60">
        <v>0.19</v>
      </c>
      <c r="D9" s="60">
        <v>0.32</v>
      </c>
      <c r="E9" s="60">
        <v>0.21</v>
      </c>
      <c r="F9" s="61">
        <v>0.12</v>
      </c>
      <c r="G9" s="62"/>
    </row>
    <row r="10" spans="1:7">
      <c r="A10" s="41" t="s">
        <v>57</v>
      </c>
      <c r="B10" s="60">
        <v>0.05</v>
      </c>
      <c r="C10" s="60">
        <v>0.09</v>
      </c>
      <c r="D10" s="60">
        <v>0.32</v>
      </c>
      <c r="E10" s="60">
        <v>0.38</v>
      </c>
      <c r="F10" s="61">
        <v>0.16</v>
      </c>
      <c r="G10" s="62"/>
    </row>
    <row r="11" spans="1:7">
      <c r="A11" s="41" t="s">
        <v>58</v>
      </c>
      <c r="B11" s="60">
        <v>0.24</v>
      </c>
      <c r="C11" s="60">
        <v>0.21</v>
      </c>
      <c r="D11" s="60">
        <v>0.28000000000000003</v>
      </c>
      <c r="E11" s="60">
        <v>0.15</v>
      </c>
      <c r="F11" s="61">
        <v>0.12</v>
      </c>
      <c r="G11" s="62"/>
    </row>
    <row r="12" spans="1:7">
      <c r="A12" s="41" t="s">
        <v>59</v>
      </c>
      <c r="B12" s="63">
        <v>0.06</v>
      </c>
      <c r="C12" s="63">
        <v>0.28000000000000003</v>
      </c>
      <c r="D12" s="63">
        <v>0.24</v>
      </c>
      <c r="E12" s="63">
        <v>0.25</v>
      </c>
      <c r="F12" s="64">
        <v>0.17</v>
      </c>
      <c r="G12" s="62"/>
    </row>
    <row r="13" spans="1:7">
      <c r="A13" s="65" t="s">
        <v>60</v>
      </c>
      <c r="B13" s="66">
        <v>0.03</v>
      </c>
      <c r="C13" s="66">
        <v>0.09</v>
      </c>
      <c r="D13" s="66">
        <v>0.2</v>
      </c>
      <c r="E13" s="66">
        <v>0.27</v>
      </c>
      <c r="F13" s="67">
        <v>0.41</v>
      </c>
      <c r="G13" s="62"/>
    </row>
    <row r="18" spans="1:1">
      <c r="A18" s="68"/>
    </row>
    <row r="20" spans="1:1">
      <c r="A20" s="3"/>
    </row>
  </sheetData>
  <pageMargins left="0.75" right="0.75" top="1" bottom="1" header="0.5" footer="0.5"/>
  <pageSetup orientation="portrait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9CDA-BEC3-47E9-AFAD-1C31A888D51B}">
  <dimension ref="A3:D10"/>
  <sheetViews>
    <sheetView showGridLines="0" workbookViewId="0">
      <selection activeCell="D23" sqref="D23"/>
    </sheetView>
  </sheetViews>
  <sheetFormatPr defaultColWidth="9.109375" defaultRowHeight="14.4"/>
  <cols>
    <col min="1" max="1" width="9.33203125" style="2" customWidth="1"/>
    <col min="2" max="3" width="10.6640625" style="2" customWidth="1"/>
    <col min="4" max="4" width="11.6640625" style="2" customWidth="1"/>
    <col min="5" max="16384" width="9.109375" style="2"/>
  </cols>
  <sheetData>
    <row r="3" spans="1:4">
      <c r="A3" s="69" t="s">
        <v>61</v>
      </c>
    </row>
    <row r="5" spans="1:4">
      <c r="A5" s="70"/>
      <c r="B5" s="71" t="s">
        <v>62</v>
      </c>
      <c r="C5" s="71" t="s">
        <v>63</v>
      </c>
      <c r="D5" s="71" t="s">
        <v>64</v>
      </c>
    </row>
    <row r="6" spans="1:4">
      <c r="A6" s="72">
        <v>1995</v>
      </c>
      <c r="B6" s="30">
        <v>31589</v>
      </c>
      <c r="C6" s="30">
        <v>3141</v>
      </c>
      <c r="D6" s="30">
        <v>5431</v>
      </c>
    </row>
    <row r="7" spans="1:4">
      <c r="A7" s="72">
        <v>2000</v>
      </c>
      <c r="B7" s="30">
        <v>32521</v>
      </c>
      <c r="C7" s="30">
        <v>3397</v>
      </c>
      <c r="D7" s="30">
        <v>5858</v>
      </c>
    </row>
    <row r="8" spans="1:4">
      <c r="A8" s="72">
        <v>2005</v>
      </c>
      <c r="B8" s="30">
        <v>34441</v>
      </c>
      <c r="C8" s="30">
        <v>3613</v>
      </c>
      <c r="D8" s="30">
        <v>6258</v>
      </c>
    </row>
    <row r="9" spans="1:4">
      <c r="A9" s="72">
        <v>2015</v>
      </c>
      <c r="B9" s="30">
        <v>41373</v>
      </c>
      <c r="C9" s="30">
        <v>3992</v>
      </c>
      <c r="D9" s="30">
        <v>7058</v>
      </c>
    </row>
    <row r="10" spans="1:4">
      <c r="A10" s="72">
        <v>2025</v>
      </c>
      <c r="B10" s="30">
        <v>49285</v>
      </c>
      <c r="C10" s="30">
        <v>4349</v>
      </c>
      <c r="D10" s="30">
        <v>7808</v>
      </c>
    </row>
  </sheetData>
  <pageMargins left="0.75" right="0.75" top="1" bottom="1" header="0.5" footer="0.5"/>
  <headerFooter alignWithMargins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BEF87-4ACF-4C5A-BC38-0B12F7FCC42C}">
  <dimension ref="A3:J23"/>
  <sheetViews>
    <sheetView showGridLines="0" workbookViewId="0">
      <selection activeCell="A3" sqref="A3:B21"/>
    </sheetView>
  </sheetViews>
  <sheetFormatPr defaultRowHeight="14.4"/>
  <cols>
    <col min="2" max="2" width="14.33203125" bestFit="1" customWidth="1"/>
  </cols>
  <sheetData>
    <row r="3" spans="1:10">
      <c r="A3" s="73" t="s">
        <v>65</v>
      </c>
      <c r="B3" s="73" t="s">
        <v>66</v>
      </c>
      <c r="J3" s="74" t="s">
        <v>67</v>
      </c>
    </row>
    <row r="4" spans="1:10">
      <c r="A4" s="75" t="s">
        <v>68</v>
      </c>
      <c r="B4" s="75">
        <v>90</v>
      </c>
      <c r="J4" t="s">
        <v>69</v>
      </c>
    </row>
    <row r="5" spans="1:10">
      <c r="A5" s="75" t="s">
        <v>70</v>
      </c>
      <c r="B5" s="75">
        <v>82</v>
      </c>
    </row>
    <row r="6" spans="1:10">
      <c r="A6" s="75" t="s">
        <v>71</v>
      </c>
      <c r="B6" s="75">
        <v>132</v>
      </c>
    </row>
    <row r="7" spans="1:10">
      <c r="A7" s="75" t="s">
        <v>72</v>
      </c>
      <c r="B7" s="75">
        <v>87</v>
      </c>
    </row>
    <row r="8" spans="1:10">
      <c r="A8" s="75" t="s">
        <v>73</v>
      </c>
      <c r="B8" s="75">
        <v>102</v>
      </c>
    </row>
    <row r="9" spans="1:10">
      <c r="A9" s="75" t="s">
        <v>74</v>
      </c>
      <c r="B9" s="75">
        <v>82</v>
      </c>
    </row>
    <row r="10" spans="1:10">
      <c r="A10" s="75" t="s">
        <v>75</v>
      </c>
      <c r="B10" s="75">
        <v>98</v>
      </c>
    </row>
    <row r="11" spans="1:10">
      <c r="A11" s="75" t="s">
        <v>76</v>
      </c>
      <c r="B11" s="75">
        <v>80</v>
      </c>
    </row>
    <row r="12" spans="1:10">
      <c r="A12" s="75" t="s">
        <v>77</v>
      </c>
      <c r="B12" s="75"/>
    </row>
    <row r="13" spans="1:10">
      <c r="A13" s="75" t="s">
        <v>78</v>
      </c>
      <c r="B13" s="75"/>
    </row>
    <row r="14" spans="1:10">
      <c r="A14" s="75" t="s">
        <v>79</v>
      </c>
      <c r="B14" s="75"/>
    </row>
    <row r="15" spans="1:10">
      <c r="A15" s="75" t="s">
        <v>80</v>
      </c>
      <c r="B15" s="75"/>
    </row>
    <row r="16" spans="1:10">
      <c r="A16" s="75" t="s">
        <v>81</v>
      </c>
      <c r="B16" s="75"/>
    </row>
    <row r="17" spans="1:2">
      <c r="A17" s="75" t="s">
        <v>82</v>
      </c>
      <c r="B17" s="75"/>
    </row>
    <row r="18" spans="1:2">
      <c r="A18" s="75" t="s">
        <v>83</v>
      </c>
      <c r="B18" s="75"/>
    </row>
    <row r="20" spans="1:2">
      <c r="A20" s="75" t="s">
        <v>84</v>
      </c>
      <c r="B20" s="75">
        <v>1000</v>
      </c>
    </row>
    <row r="21" spans="1:2">
      <c r="A21" s="75" t="s">
        <v>85</v>
      </c>
      <c r="B21" s="75">
        <f>SUM(B4:B18)</f>
        <v>753</v>
      </c>
    </row>
    <row r="22" spans="1:2" ht="15" thickBot="1"/>
    <row r="23" spans="1:2" ht="15" thickBot="1">
      <c r="B23" s="76">
        <f>B21/B20</f>
        <v>0.753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A847-1D3C-4BD9-8E1C-9F1B2D473CA9}">
  <dimension ref="A1:E19"/>
  <sheetViews>
    <sheetView showGridLines="0" workbookViewId="0">
      <selection activeCell="B14" sqref="B14"/>
    </sheetView>
  </sheetViews>
  <sheetFormatPr defaultRowHeight="14.4"/>
  <cols>
    <col min="2" max="2" width="26.88671875" customWidth="1"/>
    <col min="5" max="5" width="14.6640625" customWidth="1"/>
  </cols>
  <sheetData>
    <row r="1" spans="1:2">
      <c r="A1" s="73" t="s">
        <v>65</v>
      </c>
      <c r="B1" s="73" t="s">
        <v>66</v>
      </c>
    </row>
    <row r="2" spans="1:2">
      <c r="A2" s="75" t="s">
        <v>68</v>
      </c>
      <c r="B2" s="75">
        <v>90</v>
      </c>
    </row>
    <row r="3" spans="1:2">
      <c r="A3" s="75" t="s">
        <v>70</v>
      </c>
      <c r="B3" s="75">
        <v>82</v>
      </c>
    </row>
    <row r="4" spans="1:2">
      <c r="A4" s="75" t="s">
        <v>71</v>
      </c>
      <c r="B4" s="75">
        <v>132</v>
      </c>
    </row>
    <row r="5" spans="1:2">
      <c r="A5" s="75" t="s">
        <v>72</v>
      </c>
      <c r="B5" s="75">
        <v>87</v>
      </c>
    </row>
    <row r="6" spans="1:2">
      <c r="A6" s="75" t="s">
        <v>73</v>
      </c>
      <c r="B6" s="75">
        <v>102</v>
      </c>
    </row>
    <row r="7" spans="1:2">
      <c r="A7" s="75" t="s">
        <v>74</v>
      </c>
      <c r="B7" s="75">
        <v>82</v>
      </c>
    </row>
    <row r="8" spans="1:2">
      <c r="A8" s="75" t="s">
        <v>75</v>
      </c>
      <c r="B8" s="75">
        <v>98</v>
      </c>
    </row>
    <row r="9" spans="1:2">
      <c r="A9" s="75" t="s">
        <v>76</v>
      </c>
      <c r="B9" s="75">
        <v>80</v>
      </c>
    </row>
    <row r="10" spans="1:2">
      <c r="A10" s="75" t="s">
        <v>77</v>
      </c>
      <c r="B10" s="75">
        <v>21</v>
      </c>
    </row>
    <row r="11" spans="1:2">
      <c r="A11" s="75" t="s">
        <v>78</v>
      </c>
      <c r="B11" s="75">
        <v>46</v>
      </c>
    </row>
    <row r="12" spans="1:2">
      <c r="A12" s="75" t="s">
        <v>79</v>
      </c>
      <c r="B12" s="75"/>
    </row>
    <row r="13" spans="1:2">
      <c r="A13" s="75" t="s">
        <v>80</v>
      </c>
      <c r="B13" s="75"/>
    </row>
    <row r="14" spans="1:2">
      <c r="A14" s="75" t="s">
        <v>81</v>
      </c>
      <c r="B14" s="75"/>
    </row>
    <row r="15" spans="1:2">
      <c r="A15" s="75" t="s">
        <v>82</v>
      </c>
      <c r="B15" s="75"/>
    </row>
    <row r="16" spans="1:2">
      <c r="A16" s="75" t="s">
        <v>83</v>
      </c>
      <c r="B16" s="75"/>
    </row>
    <row r="18" spans="1:5">
      <c r="A18" s="75" t="s">
        <v>123</v>
      </c>
      <c r="B18" s="75">
        <v>1000</v>
      </c>
      <c r="E18" s="95">
        <f>B19/B18</f>
        <v>0.82</v>
      </c>
    </row>
    <row r="19" spans="1:5">
      <c r="A19" s="75" t="s">
        <v>85</v>
      </c>
      <c r="B19" s="75">
        <f>SUM(B2:B16)</f>
        <v>820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22C6C-7D5B-496F-8813-09B4E8A717FB}">
  <dimension ref="A3:E8"/>
  <sheetViews>
    <sheetView showGridLines="0" workbookViewId="0">
      <selection activeCell="A3" sqref="A3:B8"/>
    </sheetView>
  </sheetViews>
  <sheetFormatPr defaultRowHeight="14.4"/>
  <cols>
    <col min="1" max="1" width="9.6640625" bestFit="1" customWidth="1"/>
  </cols>
  <sheetData>
    <row r="3" spans="1:5">
      <c r="A3" s="100" t="s">
        <v>86</v>
      </c>
      <c r="B3" s="100"/>
      <c r="C3" s="77"/>
      <c r="D3" s="100" t="s">
        <v>87</v>
      </c>
      <c r="E3" s="100"/>
    </row>
    <row r="4" spans="1:5">
      <c r="A4" s="75" t="s">
        <v>88</v>
      </c>
      <c r="B4" s="75">
        <v>0</v>
      </c>
      <c r="D4" s="75" t="s">
        <v>89</v>
      </c>
      <c r="E4" s="75">
        <f ca="1">RANDBETWEEN(1,100)</f>
        <v>36</v>
      </c>
    </row>
    <row r="5" spans="1:5">
      <c r="A5" s="75" t="s">
        <v>90</v>
      </c>
      <c r="B5" s="75">
        <v>20</v>
      </c>
      <c r="D5" s="75" t="s">
        <v>91</v>
      </c>
      <c r="E5" s="75">
        <v>1</v>
      </c>
    </row>
    <row r="6" spans="1:5">
      <c r="A6" s="75" t="s">
        <v>42</v>
      </c>
      <c r="B6" s="75">
        <v>45</v>
      </c>
      <c r="D6" s="75" t="s">
        <v>92</v>
      </c>
      <c r="E6" s="75">
        <f ca="1">200-SUM(E4:E5)</f>
        <v>163</v>
      </c>
    </row>
    <row r="7" spans="1:5">
      <c r="A7" s="75" t="s">
        <v>92</v>
      </c>
      <c r="B7" s="75">
        <v>35</v>
      </c>
    </row>
    <row r="8" spans="1:5">
      <c r="A8" s="75" t="s">
        <v>93</v>
      </c>
      <c r="B8" s="75">
        <f>SUM(B4:B7)</f>
        <v>100</v>
      </c>
    </row>
  </sheetData>
  <mergeCells count="2">
    <mergeCell ref="A3:B3"/>
    <mergeCell ref="D3:E3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C4C36-D9E8-4989-8C42-6275FABBA3B6}">
  <dimension ref="A1:F9"/>
  <sheetViews>
    <sheetView workbookViewId="0">
      <selection activeCell="R16" sqref="R16"/>
    </sheetView>
  </sheetViews>
  <sheetFormatPr defaultRowHeight="14.4"/>
  <sheetData>
    <row r="1" spans="1:6">
      <c r="A1" s="100" t="s">
        <v>86</v>
      </c>
      <c r="B1" s="100"/>
    </row>
    <row r="2" spans="1:6">
      <c r="A2" s="75" t="s">
        <v>88</v>
      </c>
      <c r="B2" s="75">
        <v>0</v>
      </c>
      <c r="D2" t="s">
        <v>124</v>
      </c>
      <c r="E2">
        <v>33</v>
      </c>
    </row>
    <row r="3" spans="1:6">
      <c r="A3" s="75" t="s">
        <v>90</v>
      </c>
      <c r="B3" s="75">
        <v>20</v>
      </c>
      <c r="D3" t="s">
        <v>125</v>
      </c>
      <c r="E3">
        <v>1</v>
      </c>
    </row>
    <row r="4" spans="1:6">
      <c r="A4" s="75" t="s">
        <v>42</v>
      </c>
      <c r="B4" s="75">
        <v>45</v>
      </c>
      <c r="D4" t="s">
        <v>126</v>
      </c>
      <c r="E4">
        <f>200-SUM(E2:E3)</f>
        <v>166</v>
      </c>
    </row>
    <row r="5" spans="1:6">
      <c r="A5" s="75" t="s">
        <v>92</v>
      </c>
      <c r="B5" s="75">
        <v>35</v>
      </c>
    </row>
    <row r="6" spans="1:6">
      <c r="A6" s="75" t="s">
        <v>93</v>
      </c>
      <c r="B6" s="75">
        <f>SUM(B2:B5)</f>
        <v>100</v>
      </c>
    </row>
    <row r="9" spans="1:6">
      <c r="F9" s="96">
        <f>E2/200</f>
        <v>0.16500000000000001</v>
      </c>
    </row>
  </sheetData>
  <mergeCells count="1">
    <mergeCell ref="A1:B1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56093-2330-4F14-9096-A27328EBE228}">
  <dimension ref="A1:B6"/>
  <sheetViews>
    <sheetView workbookViewId="0">
      <selection activeCell="B3" sqref="B3"/>
    </sheetView>
  </sheetViews>
  <sheetFormatPr defaultRowHeight="14.4"/>
  <cols>
    <col min="1" max="1" width="21.5546875" bestFit="1" customWidth="1"/>
    <col min="2" max="2" width="15.44140625" bestFit="1" customWidth="1"/>
  </cols>
  <sheetData>
    <row r="1" spans="1:2">
      <c r="A1" s="83" t="s">
        <v>110</v>
      </c>
      <c r="B1" s="83" t="s">
        <v>116</v>
      </c>
    </row>
    <row r="2" spans="1:2">
      <c r="A2" s="84" t="s">
        <v>111</v>
      </c>
      <c r="B2" s="85">
        <v>2000</v>
      </c>
    </row>
    <row r="3" spans="1:2">
      <c r="A3" s="84" t="s">
        <v>112</v>
      </c>
      <c r="B3" s="85">
        <v>1400</v>
      </c>
    </row>
    <row r="4" spans="1:2">
      <c r="A4" s="84" t="s">
        <v>113</v>
      </c>
      <c r="B4" s="85">
        <v>1100</v>
      </c>
    </row>
    <row r="5" spans="1:2">
      <c r="A5" s="84" t="s">
        <v>114</v>
      </c>
      <c r="B5" s="85">
        <v>700</v>
      </c>
    </row>
    <row r="6" spans="1:2">
      <c r="A6" s="84" t="s">
        <v>115</v>
      </c>
      <c r="B6" s="85">
        <v>300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A0629-1F88-4348-B9DF-0ED34E21D9C9}">
  <dimension ref="A1:Q19"/>
  <sheetViews>
    <sheetView showGridLines="0" workbookViewId="0">
      <selection activeCell="G14" sqref="G14"/>
    </sheetView>
  </sheetViews>
  <sheetFormatPr defaultRowHeight="14.4"/>
  <cols>
    <col min="1" max="1" width="3.109375" customWidth="1"/>
    <col min="2" max="2" width="9.5546875" customWidth="1"/>
    <col min="3" max="3" width="13" customWidth="1"/>
    <col min="4" max="4" width="12.44140625" customWidth="1"/>
    <col min="5" max="5" width="12.33203125" customWidth="1"/>
    <col min="6" max="6" width="5" customWidth="1"/>
    <col min="7" max="8" width="12.44140625" customWidth="1"/>
    <col min="9" max="9" width="14.109375" customWidth="1"/>
  </cols>
  <sheetData>
    <row r="1" spans="1:17">
      <c r="Q1" t="s">
        <v>94</v>
      </c>
    </row>
    <row r="2" spans="1:17">
      <c r="Q2" t="s">
        <v>13</v>
      </c>
    </row>
    <row r="3" spans="1:17">
      <c r="Q3" t="s">
        <v>14</v>
      </c>
    </row>
    <row r="4" spans="1:17" ht="7.5" customHeight="1"/>
    <row r="5" spans="1:17" ht="4.5" customHeight="1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</row>
    <row r="7" spans="1:17">
      <c r="B7" s="79" t="s">
        <v>95</v>
      </c>
      <c r="C7" s="80" t="s">
        <v>94</v>
      </c>
      <c r="D7" s="80" t="s">
        <v>13</v>
      </c>
      <c r="E7" s="80" t="s">
        <v>14</v>
      </c>
      <c r="F7">
        <v>2</v>
      </c>
      <c r="H7" s="79" t="s">
        <v>95</v>
      </c>
      <c r="I7" s="80" t="str">
        <f ca="1">OFFSET($B$7,ROW()-7,$F$7)</f>
        <v>Sales</v>
      </c>
    </row>
    <row r="8" spans="1:17">
      <c r="B8" s="81" t="s">
        <v>96</v>
      </c>
      <c r="C8" s="82">
        <v>20</v>
      </c>
      <c r="D8" s="82">
        <v>1153407</v>
      </c>
      <c r="E8" s="82">
        <v>373541</v>
      </c>
      <c r="H8" s="81" t="s">
        <v>96</v>
      </c>
      <c r="I8" s="82">
        <f ca="1">OFFSET($B$7,ROW()-7,$F$7)</f>
        <v>1153407</v>
      </c>
    </row>
    <row r="9" spans="1:17">
      <c r="B9" s="81" t="s">
        <v>97</v>
      </c>
      <c r="C9" s="82">
        <v>17</v>
      </c>
      <c r="D9" s="82">
        <v>1293888</v>
      </c>
      <c r="E9" s="82">
        <v>501682</v>
      </c>
      <c r="H9" s="81" t="s">
        <v>97</v>
      </c>
      <c r="I9" s="82">
        <f ca="1">OFFSET($B$7,ROW()-7,$F$7)</f>
        <v>1293888</v>
      </c>
    </row>
    <row r="10" spans="1:17">
      <c r="B10" s="81" t="s">
        <v>98</v>
      </c>
      <c r="C10" s="82">
        <v>9</v>
      </c>
      <c r="D10" s="82">
        <v>1352937</v>
      </c>
      <c r="E10" s="82">
        <v>343974</v>
      </c>
      <c r="H10" s="81" t="s">
        <v>98</v>
      </c>
      <c r="I10" s="82">
        <f ca="1">OFFSET($B$7,ROW()-7,$F$7)</f>
        <v>1352937</v>
      </c>
    </row>
    <row r="11" spans="1:17">
      <c r="B11" s="81" t="s">
        <v>99</v>
      </c>
      <c r="C11" s="82">
        <v>7</v>
      </c>
      <c r="D11" s="82">
        <v>1083369</v>
      </c>
      <c r="E11" s="82">
        <v>572674</v>
      </c>
      <c r="H11" s="81" t="s">
        <v>99</v>
      </c>
      <c r="I11" s="82">
        <f t="shared" ref="I11:I19" ca="1" si="0">OFFSET($B$7,ROW()-7,$F$7)</f>
        <v>1083369</v>
      </c>
    </row>
    <row r="12" spans="1:17">
      <c r="B12" s="81" t="s">
        <v>100</v>
      </c>
      <c r="C12" s="82">
        <v>14</v>
      </c>
      <c r="D12" s="82">
        <v>1212378</v>
      </c>
      <c r="E12" s="82">
        <v>572366</v>
      </c>
      <c r="H12" s="81" t="s">
        <v>100</v>
      </c>
      <c r="I12" s="82">
        <f t="shared" ca="1" si="0"/>
        <v>1212378</v>
      </c>
    </row>
    <row r="13" spans="1:17">
      <c r="B13" s="81" t="s">
        <v>101</v>
      </c>
      <c r="C13" s="82">
        <v>14</v>
      </c>
      <c r="D13" s="82">
        <v>1047353</v>
      </c>
      <c r="E13" s="82">
        <v>378457</v>
      </c>
      <c r="H13" s="81" t="s">
        <v>101</v>
      </c>
      <c r="I13" s="82">
        <f t="shared" ca="1" si="0"/>
        <v>1047353</v>
      </c>
    </row>
    <row r="14" spans="1:17">
      <c r="B14" s="81" t="s">
        <v>102</v>
      </c>
      <c r="C14" s="82">
        <v>17</v>
      </c>
      <c r="D14" s="82">
        <v>1346193</v>
      </c>
      <c r="E14" s="82">
        <v>310541</v>
      </c>
      <c r="H14" s="81" t="s">
        <v>102</v>
      </c>
      <c r="I14" s="82">
        <f t="shared" ca="1" si="0"/>
        <v>1346193</v>
      </c>
    </row>
    <row r="15" spans="1:17">
      <c r="B15" s="81" t="s">
        <v>103</v>
      </c>
      <c r="C15" s="82">
        <v>8</v>
      </c>
      <c r="D15" s="82">
        <v>1097831</v>
      </c>
      <c r="E15" s="82">
        <v>312313</v>
      </c>
      <c r="H15" s="81" t="s">
        <v>103</v>
      </c>
      <c r="I15" s="82">
        <f t="shared" ca="1" si="0"/>
        <v>1097831</v>
      </c>
    </row>
    <row r="16" spans="1:17">
      <c r="B16" s="81" t="s">
        <v>104</v>
      </c>
      <c r="C16" s="82">
        <v>7</v>
      </c>
      <c r="D16" s="82">
        <v>1218507</v>
      </c>
      <c r="E16" s="82">
        <v>333669</v>
      </c>
      <c r="H16" s="81" t="s">
        <v>104</v>
      </c>
      <c r="I16" s="82">
        <f t="shared" ca="1" si="0"/>
        <v>1218507</v>
      </c>
    </row>
    <row r="17" spans="2:9">
      <c r="B17" s="81" t="s">
        <v>105</v>
      </c>
      <c r="C17" s="82">
        <v>3</v>
      </c>
      <c r="D17" s="82">
        <v>1292704</v>
      </c>
      <c r="E17" s="82">
        <v>590670</v>
      </c>
      <c r="H17" s="81" t="s">
        <v>105</v>
      </c>
      <c r="I17" s="82">
        <f t="shared" ca="1" si="0"/>
        <v>1292704</v>
      </c>
    </row>
    <row r="18" spans="2:9">
      <c r="B18" s="81" t="s">
        <v>106</v>
      </c>
      <c r="C18" s="82">
        <v>17</v>
      </c>
      <c r="D18" s="82">
        <v>1220813</v>
      </c>
      <c r="E18" s="82">
        <v>540662</v>
      </c>
      <c r="H18" s="81" t="s">
        <v>106</v>
      </c>
      <c r="I18" s="82">
        <f t="shared" ca="1" si="0"/>
        <v>1220813</v>
      </c>
    </row>
    <row r="19" spans="2:9">
      <c r="B19" s="81" t="s">
        <v>107</v>
      </c>
      <c r="C19" s="82">
        <v>11</v>
      </c>
      <c r="D19" s="82">
        <v>1431153</v>
      </c>
      <c r="E19" s="82">
        <v>300463</v>
      </c>
      <c r="H19" s="81" t="s">
        <v>107</v>
      </c>
      <c r="I19" s="82">
        <f t="shared" ca="1" si="0"/>
        <v>1431153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3" name="Drop Down 1">
              <controlPr defaultSize="0" autoLine="0" autoPict="0">
                <anchor moveWithCells="1">
                  <from>
                    <xdr:col>12</xdr:col>
                    <xdr:colOff>571500</xdr:colOff>
                    <xdr:row>5</xdr:row>
                    <xdr:rowOff>182880</xdr:rowOff>
                  </from>
                  <to>
                    <xdr:col>14</xdr:col>
                    <xdr:colOff>571500</xdr:colOff>
                    <xdr:row>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24093-7F03-4FDE-92B7-E426E540DEED}">
  <dimension ref="A1:Q22"/>
  <sheetViews>
    <sheetView showGridLines="0" workbookViewId="0">
      <selection activeCell="I11" sqref="I11"/>
    </sheetView>
  </sheetViews>
  <sheetFormatPr defaultRowHeight="14.4"/>
  <cols>
    <col min="1" max="1" width="3.109375" customWidth="1"/>
    <col min="2" max="2" width="9.5546875" customWidth="1"/>
    <col min="3" max="3" width="13" customWidth="1"/>
    <col min="4" max="4" width="12.44140625" customWidth="1"/>
    <col min="5" max="5" width="12.33203125" customWidth="1"/>
    <col min="6" max="6" width="5" customWidth="1"/>
    <col min="7" max="8" width="12.44140625" customWidth="1"/>
    <col min="9" max="9" width="14.109375" customWidth="1"/>
    <col min="17" max="17" width="19.5546875" customWidth="1"/>
  </cols>
  <sheetData>
    <row r="1" spans="1:17">
      <c r="Q1" s="80" t="s">
        <v>94</v>
      </c>
    </row>
    <row r="2" spans="1:17">
      <c r="Q2" s="80" t="s">
        <v>13</v>
      </c>
    </row>
    <row r="3" spans="1:17">
      <c r="Q3" s="80" t="s">
        <v>14</v>
      </c>
    </row>
    <row r="4" spans="1:17" ht="7.5" customHeight="1"/>
    <row r="5" spans="1:17" ht="4.5" customHeight="1">
      <c r="A5" s="78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</row>
    <row r="7" spans="1:17">
      <c r="B7" s="79" t="s">
        <v>95</v>
      </c>
      <c r="C7" s="80" t="s">
        <v>94</v>
      </c>
      <c r="D7" s="80" t="s">
        <v>13</v>
      </c>
      <c r="E7" s="80" t="s">
        <v>14</v>
      </c>
      <c r="L7">
        <v>3</v>
      </c>
    </row>
    <row r="8" spans="1:17">
      <c r="B8" s="81" t="s">
        <v>96</v>
      </c>
      <c r="C8" s="82">
        <v>20</v>
      </c>
      <c r="D8" s="82">
        <v>1153407</v>
      </c>
      <c r="E8" s="82">
        <v>373541</v>
      </c>
    </row>
    <row r="9" spans="1:17">
      <c r="B9" s="81" t="s">
        <v>97</v>
      </c>
      <c r="C9" s="82">
        <v>17</v>
      </c>
      <c r="D9" s="82">
        <v>1293888</v>
      </c>
      <c r="E9" s="82">
        <v>501682</v>
      </c>
    </row>
    <row r="10" spans="1:17">
      <c r="B10" s="81" t="s">
        <v>98</v>
      </c>
      <c r="C10" s="82">
        <v>9</v>
      </c>
      <c r="D10" s="82">
        <v>1352937</v>
      </c>
      <c r="E10" s="82">
        <v>343974</v>
      </c>
      <c r="H10" s="80" t="s">
        <v>95</v>
      </c>
      <c r="I10" s="77" t="str" cm="1">
        <f t="array" ref="I10">INDEX($C$7:$E$19,MATCH(H10,$B$7:$B$19,0),$L$7)</f>
        <v>Profit</v>
      </c>
    </row>
    <row r="11" spans="1:17">
      <c r="B11" s="81" t="s">
        <v>99</v>
      </c>
      <c r="C11" s="82">
        <v>7</v>
      </c>
      <c r="D11" s="82">
        <v>1083369</v>
      </c>
      <c r="E11" s="82">
        <v>572674</v>
      </c>
      <c r="H11" s="97" t="s">
        <v>96</v>
      </c>
      <c r="I11" s="77" cm="1">
        <f t="array" ref="I11">INDEX($C$7:$E$19,MATCH(H11,$B$7:$B$19,0),$L$7)</f>
        <v>373541</v>
      </c>
    </row>
    <row r="12" spans="1:17">
      <c r="B12" s="81" t="s">
        <v>100</v>
      </c>
      <c r="C12" s="82">
        <v>14</v>
      </c>
      <c r="D12" s="82">
        <v>1212378</v>
      </c>
      <c r="E12" s="82">
        <v>572366</v>
      </c>
      <c r="H12" s="97" t="s">
        <v>97</v>
      </c>
      <c r="I12" s="77" cm="1">
        <f t="array" ref="I12">INDEX($C$7:$E$19,MATCH(H12,$B$7:$B$19,0),$L$7)</f>
        <v>501682</v>
      </c>
    </row>
    <row r="13" spans="1:17">
      <c r="B13" s="81" t="s">
        <v>101</v>
      </c>
      <c r="C13" s="82">
        <v>14</v>
      </c>
      <c r="D13" s="82">
        <v>1047353</v>
      </c>
      <c r="E13" s="82">
        <v>378457</v>
      </c>
      <c r="H13" s="97" t="s">
        <v>98</v>
      </c>
      <c r="I13" s="77" cm="1">
        <f t="array" ref="I13">INDEX($C$7:$E$19,MATCH(H13,$B$7:$B$19,0),$L$7)</f>
        <v>343974</v>
      </c>
    </row>
    <row r="14" spans="1:17">
      <c r="B14" s="81" t="s">
        <v>102</v>
      </c>
      <c r="C14" s="82">
        <v>17</v>
      </c>
      <c r="D14" s="82">
        <v>1346193</v>
      </c>
      <c r="E14" s="82">
        <v>310541</v>
      </c>
      <c r="H14" s="97" t="s">
        <v>99</v>
      </c>
      <c r="I14" s="77" cm="1">
        <f t="array" ref="I14">INDEX($C$7:$E$19,MATCH(H14,$B$7:$B$19,0),$L$7)</f>
        <v>572674</v>
      </c>
    </row>
    <row r="15" spans="1:17">
      <c r="B15" s="81" t="s">
        <v>103</v>
      </c>
      <c r="C15" s="82">
        <v>8</v>
      </c>
      <c r="D15" s="82">
        <v>1097831</v>
      </c>
      <c r="E15" s="82">
        <v>312313</v>
      </c>
      <c r="H15" s="97" t="s">
        <v>100</v>
      </c>
      <c r="I15" s="77" cm="1">
        <f t="array" ref="I15">INDEX($C$7:$E$19,MATCH(H15,$B$7:$B$19,0),$L$7)</f>
        <v>572366</v>
      </c>
    </row>
    <row r="16" spans="1:17">
      <c r="B16" s="81" t="s">
        <v>104</v>
      </c>
      <c r="C16" s="82">
        <v>7</v>
      </c>
      <c r="D16" s="82">
        <v>1218507</v>
      </c>
      <c r="E16" s="82">
        <v>333669</v>
      </c>
      <c r="H16" s="97" t="s">
        <v>101</v>
      </c>
      <c r="I16" s="77" cm="1">
        <f t="array" ref="I16">INDEX($C$7:$E$19,MATCH(H16,$B$7:$B$19,0),$L$7)</f>
        <v>378457</v>
      </c>
    </row>
    <row r="17" spans="2:9">
      <c r="B17" s="81" t="s">
        <v>105</v>
      </c>
      <c r="C17" s="82">
        <v>3</v>
      </c>
      <c r="D17" s="82">
        <v>1292704</v>
      </c>
      <c r="E17" s="82">
        <v>590670</v>
      </c>
      <c r="H17" s="97" t="s">
        <v>102</v>
      </c>
      <c r="I17" s="77" cm="1">
        <f t="array" ref="I17">INDEX($C$7:$E$19,MATCH(H17,$B$7:$B$19,0),$L$7)</f>
        <v>310541</v>
      </c>
    </row>
    <row r="18" spans="2:9">
      <c r="B18" s="81" t="s">
        <v>106</v>
      </c>
      <c r="C18" s="82">
        <v>17</v>
      </c>
      <c r="D18" s="82">
        <v>1220813</v>
      </c>
      <c r="E18" s="82">
        <v>540662</v>
      </c>
      <c r="H18" s="97" t="s">
        <v>103</v>
      </c>
      <c r="I18" s="77" cm="1">
        <f t="array" ref="I18">INDEX($C$7:$E$19,MATCH(H18,$B$7:$B$19,0),$L$7)</f>
        <v>312313</v>
      </c>
    </row>
    <row r="19" spans="2:9">
      <c r="B19" s="81" t="s">
        <v>107</v>
      </c>
      <c r="C19" s="82">
        <v>11</v>
      </c>
      <c r="D19" s="82">
        <v>1431153</v>
      </c>
      <c r="E19" s="82">
        <v>300463</v>
      </c>
      <c r="H19" s="97" t="s">
        <v>104</v>
      </c>
      <c r="I19" s="77" cm="1">
        <f t="array" ref="I19">INDEX($C$7:$E$19,MATCH(H19,$B$7:$B$19,0),$L$7)</f>
        <v>333669</v>
      </c>
    </row>
    <row r="20" spans="2:9">
      <c r="H20" s="97" t="s">
        <v>105</v>
      </c>
      <c r="I20" s="77" cm="1">
        <f t="array" ref="I20">INDEX($C$7:$E$19,MATCH(H20,$B$7:$B$19,0),$L$7)</f>
        <v>590670</v>
      </c>
    </row>
    <row r="21" spans="2:9">
      <c r="H21" s="97" t="s">
        <v>106</v>
      </c>
      <c r="I21" s="77" cm="1">
        <f t="array" ref="I21">INDEX($C$7:$E$19,MATCH(H21,$B$7:$B$19,0),$L$7)</f>
        <v>540662</v>
      </c>
    </row>
    <row r="22" spans="2:9">
      <c r="H22" s="97" t="s">
        <v>107</v>
      </c>
      <c r="I22" s="77" cm="1">
        <f t="array" ref="I22">INDEX($C$7:$E$19,MATCH(H22,$B$7:$B$19,0),$L$7)</f>
        <v>300463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7409" r:id="rId3" name="Drop Down 1">
              <controlPr defaultSize="0" autoLine="0" autoPict="0">
                <anchor moveWithCells="1">
                  <from>
                    <xdr:col>12</xdr:col>
                    <xdr:colOff>381000</xdr:colOff>
                    <xdr:row>5</xdr:row>
                    <xdr:rowOff>83820</xdr:rowOff>
                  </from>
                  <to>
                    <xdr:col>14</xdr:col>
                    <xdr:colOff>518160</xdr:colOff>
                    <xdr:row>6</xdr:row>
                    <xdr:rowOff>106680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34263-CA03-45DD-9A5E-D60198529698}">
  <dimension ref="A1:R217"/>
  <sheetViews>
    <sheetView tabSelected="1" topLeftCell="G1" workbookViewId="0">
      <pane ySplit="1" topLeftCell="A2" activePane="bottomLeft" state="frozen"/>
      <selection pane="bottomLeft" activeCell="L11" sqref="L11"/>
    </sheetView>
  </sheetViews>
  <sheetFormatPr defaultRowHeight="14.4"/>
  <cols>
    <col min="1" max="1" width="14.6640625" style="77" customWidth="1"/>
    <col min="2" max="2" width="15.33203125" style="77" customWidth="1"/>
    <col min="3" max="3" width="19.44140625" style="77" customWidth="1"/>
    <col min="4" max="4" width="15.44140625" style="77" customWidth="1"/>
    <col min="5" max="5" width="16.88671875" style="77" customWidth="1"/>
    <col min="6" max="6" width="22.6640625" style="77" customWidth="1"/>
    <col min="7" max="7" width="23.77734375" style="77" customWidth="1"/>
    <col min="8" max="8" width="12.5546875" style="77" bestFit="1" customWidth="1"/>
    <col min="9" max="9" width="16.33203125" style="77" customWidth="1"/>
    <col min="10" max="10" width="18.77734375" style="77" customWidth="1"/>
    <col min="11" max="11" width="16.88671875" style="77" customWidth="1"/>
    <col min="12" max="12" width="20.88671875" style="77" customWidth="1"/>
    <col min="13" max="13" width="14.109375" style="77" customWidth="1"/>
    <col min="14" max="14" width="16.5546875" style="77" customWidth="1"/>
    <col min="15" max="15" width="12.6640625" style="77" customWidth="1"/>
    <col min="16" max="16" width="14.44140625" style="77" customWidth="1"/>
    <col min="17" max="17" width="13.77734375" style="77" customWidth="1"/>
    <col min="18" max="18" width="15" style="77" customWidth="1"/>
    <col min="19" max="16384" width="8.88671875" style="77"/>
  </cols>
  <sheetData>
    <row r="1" spans="1:18">
      <c r="A1" s="77" t="s">
        <v>127</v>
      </c>
      <c r="B1" s="77" t="s">
        <v>128</v>
      </c>
      <c r="C1" s="77" t="s">
        <v>129</v>
      </c>
      <c r="D1" s="77" t="s">
        <v>130</v>
      </c>
      <c r="E1" s="77" t="s">
        <v>131</v>
      </c>
      <c r="F1" s="77" t="s">
        <v>132</v>
      </c>
      <c r="G1" s="77" t="s">
        <v>133</v>
      </c>
      <c r="H1" s="77" t="s">
        <v>134</v>
      </c>
      <c r="I1" s="77" t="s">
        <v>135</v>
      </c>
      <c r="J1" s="77" t="s">
        <v>136</v>
      </c>
      <c r="K1" s="77" t="s">
        <v>137</v>
      </c>
      <c r="L1" s="77" t="s">
        <v>138</v>
      </c>
      <c r="M1" s="77" t="s">
        <v>139</v>
      </c>
      <c r="N1" s="77" t="s">
        <v>140</v>
      </c>
      <c r="O1" s="77" t="s">
        <v>141</v>
      </c>
      <c r="P1" s="77" t="s">
        <v>142</v>
      </c>
      <c r="Q1" s="77" t="s">
        <v>143</v>
      </c>
      <c r="R1" s="77" t="s">
        <v>144</v>
      </c>
    </row>
    <row r="2" spans="1:18">
      <c r="A2" s="77" t="s">
        <v>145</v>
      </c>
      <c r="B2" s="77" t="s">
        <v>146</v>
      </c>
      <c r="C2" s="98">
        <v>44480</v>
      </c>
      <c r="D2" s="77">
        <v>155540</v>
      </c>
      <c r="E2" s="77">
        <v>7228</v>
      </c>
      <c r="F2" s="77">
        <v>3904.5650000000001</v>
      </c>
      <c r="G2" s="77">
        <v>181.447</v>
      </c>
      <c r="J2" s="77">
        <v>2369625</v>
      </c>
      <c r="K2" s="77">
        <v>828601</v>
      </c>
      <c r="M2" s="77">
        <v>39835428</v>
      </c>
      <c r="N2" s="77">
        <v>54.421999999999997</v>
      </c>
      <c r="O2" s="77">
        <v>18.600000000000001</v>
      </c>
      <c r="P2" s="77">
        <v>2.581</v>
      </c>
      <c r="Q2" s="77">
        <v>1.337</v>
      </c>
      <c r="R2" s="77">
        <v>1803.9870000000001</v>
      </c>
    </row>
    <row r="3" spans="1:18">
      <c r="A3" s="77" t="s">
        <v>147</v>
      </c>
      <c r="B3" s="77" t="s">
        <v>148</v>
      </c>
      <c r="C3" s="98">
        <v>44480</v>
      </c>
      <c r="D3" s="77">
        <v>175163</v>
      </c>
      <c r="E3" s="77">
        <v>2777</v>
      </c>
      <c r="F3" s="77">
        <v>60970.074000000001</v>
      </c>
      <c r="G3" s="77">
        <v>966.60799999999995</v>
      </c>
      <c r="J3" s="77">
        <v>1795351</v>
      </c>
      <c r="K3" s="77">
        <v>962281</v>
      </c>
      <c r="L3" s="77">
        <v>833070</v>
      </c>
      <c r="M3" s="77">
        <v>2872934</v>
      </c>
      <c r="N3" s="77">
        <v>104.871</v>
      </c>
      <c r="O3" s="77">
        <v>38</v>
      </c>
      <c r="P3" s="77">
        <v>13.188000000000001</v>
      </c>
      <c r="Q3" s="77">
        <v>8.6430000000000007</v>
      </c>
      <c r="R3" s="77">
        <v>11803.431</v>
      </c>
    </row>
    <row r="4" spans="1:18">
      <c r="A4" s="77" t="s">
        <v>149</v>
      </c>
      <c r="B4" s="77" t="s">
        <v>150</v>
      </c>
      <c r="C4" s="98">
        <v>44480</v>
      </c>
      <c r="D4" s="77">
        <v>204695</v>
      </c>
      <c r="E4" s="77">
        <v>5855</v>
      </c>
      <c r="F4" s="77">
        <v>4587.8639999999996</v>
      </c>
      <c r="G4" s="77">
        <v>131.22900000000001</v>
      </c>
      <c r="M4" s="77">
        <v>44616626</v>
      </c>
      <c r="N4" s="77">
        <v>17.347999999999999</v>
      </c>
      <c r="O4" s="77">
        <v>29.1</v>
      </c>
      <c r="P4" s="77">
        <v>6.2110000000000003</v>
      </c>
      <c r="Q4" s="77">
        <v>3.8570000000000002</v>
      </c>
      <c r="R4" s="77">
        <v>13913.839</v>
      </c>
    </row>
    <row r="5" spans="1:18">
      <c r="A5" s="77" t="s">
        <v>147</v>
      </c>
      <c r="B5" s="77" t="s">
        <v>151</v>
      </c>
      <c r="C5" s="98">
        <v>44480</v>
      </c>
      <c r="D5" s="77">
        <v>15307</v>
      </c>
      <c r="E5" s="77">
        <v>130</v>
      </c>
      <c r="F5" s="77">
        <v>197882.462</v>
      </c>
      <c r="G5" s="77">
        <v>1680.585</v>
      </c>
      <c r="H5" s="77">
        <v>215733</v>
      </c>
      <c r="I5" s="77">
        <v>5.3999999999999999E-2</v>
      </c>
      <c r="M5" s="77">
        <v>77354</v>
      </c>
      <c r="N5" s="77">
        <v>163.755</v>
      </c>
    </row>
    <row r="6" spans="1:18">
      <c r="A6" s="77" t="s">
        <v>149</v>
      </c>
      <c r="B6" s="77" t="s">
        <v>152</v>
      </c>
      <c r="C6" s="98">
        <v>44480</v>
      </c>
      <c r="D6" s="77">
        <v>61580</v>
      </c>
      <c r="E6" s="77">
        <v>1629</v>
      </c>
      <c r="F6" s="77">
        <v>1814.72</v>
      </c>
      <c r="G6" s="77">
        <v>48.006</v>
      </c>
      <c r="J6" s="77">
        <v>4074677</v>
      </c>
      <c r="K6" s="77">
        <v>2863708</v>
      </c>
      <c r="L6" s="77">
        <v>1210969</v>
      </c>
      <c r="M6" s="77">
        <v>33933611</v>
      </c>
      <c r="N6" s="77">
        <v>23.89</v>
      </c>
      <c r="O6" s="77">
        <v>16.8</v>
      </c>
      <c r="P6" s="77">
        <v>2.4049999999999998</v>
      </c>
      <c r="Q6" s="77">
        <v>1.3620000000000001</v>
      </c>
      <c r="R6" s="77">
        <v>5819.4949999999999</v>
      </c>
    </row>
    <row r="7" spans="1:18">
      <c r="A7" s="77" t="s">
        <v>153</v>
      </c>
      <c r="B7" s="77" t="s">
        <v>154</v>
      </c>
      <c r="C7" s="98">
        <v>44470</v>
      </c>
      <c r="J7" s="77">
        <v>18704</v>
      </c>
      <c r="K7" s="77">
        <v>9548</v>
      </c>
      <c r="L7" s="77">
        <v>9156</v>
      </c>
      <c r="M7" s="77">
        <v>15125</v>
      </c>
    </row>
    <row r="8" spans="1:18">
      <c r="A8" s="77" t="s">
        <v>153</v>
      </c>
      <c r="B8" s="77" t="s">
        <v>155</v>
      </c>
      <c r="C8" s="98">
        <v>44480</v>
      </c>
      <c r="D8" s="77">
        <v>3750</v>
      </c>
      <c r="E8" s="77">
        <v>93</v>
      </c>
      <c r="F8" s="77">
        <v>37983.146000000001</v>
      </c>
      <c r="G8" s="77">
        <v>941.98199999999997</v>
      </c>
      <c r="J8" s="77">
        <v>98840</v>
      </c>
      <c r="K8" s="77">
        <v>54435</v>
      </c>
      <c r="L8" s="77">
        <v>44405</v>
      </c>
      <c r="M8" s="77">
        <v>98728</v>
      </c>
      <c r="N8" s="77">
        <v>231.845</v>
      </c>
      <c r="O8" s="77">
        <v>32.1</v>
      </c>
      <c r="P8" s="77">
        <v>6.9329999999999998</v>
      </c>
      <c r="Q8" s="77">
        <v>4.6310000000000002</v>
      </c>
      <c r="R8" s="77">
        <v>21490.942999999999</v>
      </c>
    </row>
    <row r="9" spans="1:18">
      <c r="A9" s="77" t="s">
        <v>156</v>
      </c>
      <c r="B9" s="77" t="s">
        <v>157</v>
      </c>
      <c r="C9" s="98">
        <v>44480</v>
      </c>
      <c r="D9" s="77">
        <v>5266275</v>
      </c>
      <c r="E9" s="77">
        <v>115491</v>
      </c>
      <c r="F9" s="77">
        <v>115473.74099999999</v>
      </c>
      <c r="G9" s="77">
        <v>2532.3739999999998</v>
      </c>
      <c r="H9" s="77">
        <v>24156096</v>
      </c>
      <c r="I9" s="77">
        <v>1.9E-2</v>
      </c>
      <c r="J9" s="77">
        <v>54115894</v>
      </c>
      <c r="K9" s="77">
        <v>30265200</v>
      </c>
      <c r="L9" s="77">
        <v>23928986</v>
      </c>
      <c r="M9" s="77">
        <v>45605823</v>
      </c>
      <c r="N9" s="77">
        <v>16.177</v>
      </c>
      <c r="O9" s="77">
        <v>31.9</v>
      </c>
      <c r="P9" s="77">
        <v>11.198</v>
      </c>
      <c r="Q9" s="77">
        <v>7.4409999999999998</v>
      </c>
      <c r="R9" s="77">
        <v>18933.906999999999</v>
      </c>
    </row>
    <row r="10" spans="1:18">
      <c r="A10" s="77" t="s">
        <v>145</v>
      </c>
      <c r="B10" s="77" t="s">
        <v>158</v>
      </c>
      <c r="C10" s="98">
        <v>44480</v>
      </c>
      <c r="D10" s="77">
        <v>272957</v>
      </c>
      <c r="E10" s="77">
        <v>5575</v>
      </c>
      <c r="F10" s="77">
        <v>91962.678</v>
      </c>
      <c r="G10" s="77">
        <v>1878.288</v>
      </c>
      <c r="H10" s="77">
        <v>1770914</v>
      </c>
      <c r="I10" s="77">
        <v>0.10199999999999999</v>
      </c>
      <c r="J10" s="77">
        <v>514241</v>
      </c>
      <c r="K10" s="77">
        <v>344029</v>
      </c>
      <c r="L10" s="77">
        <v>170212</v>
      </c>
      <c r="M10" s="77">
        <v>2968128</v>
      </c>
      <c r="N10" s="77">
        <v>102.931</v>
      </c>
      <c r="O10" s="77">
        <v>35.700000000000003</v>
      </c>
      <c r="P10" s="77">
        <v>11.231999999999999</v>
      </c>
      <c r="Q10" s="77">
        <v>7.5709999999999997</v>
      </c>
      <c r="R10" s="77">
        <v>8787.58</v>
      </c>
    </row>
    <row r="11" spans="1:18">
      <c r="A11" s="77" t="s">
        <v>153</v>
      </c>
      <c r="B11" s="77" t="s">
        <v>159</v>
      </c>
      <c r="C11" s="98">
        <v>44479</v>
      </c>
      <c r="J11" s="77">
        <v>157541</v>
      </c>
      <c r="K11" s="77">
        <v>81871</v>
      </c>
      <c r="L11" s="77">
        <v>75670</v>
      </c>
      <c r="M11" s="77">
        <v>107195</v>
      </c>
      <c r="N11" s="77">
        <v>584.79999999999995</v>
      </c>
      <c r="O11" s="77">
        <v>41.2</v>
      </c>
      <c r="P11" s="77">
        <v>13.085000000000001</v>
      </c>
      <c r="Q11" s="77">
        <v>7.452</v>
      </c>
      <c r="R11" s="77">
        <v>35973.781000000003</v>
      </c>
    </row>
    <row r="12" spans="1:18">
      <c r="A12" s="77" t="s">
        <v>160</v>
      </c>
      <c r="B12" s="77" t="s">
        <v>161</v>
      </c>
      <c r="C12" s="98">
        <v>44480</v>
      </c>
      <c r="D12" s="77">
        <v>131415</v>
      </c>
      <c r="E12" s="77">
        <v>1461</v>
      </c>
      <c r="F12" s="77">
        <v>5095.9319999999998</v>
      </c>
      <c r="G12" s="77">
        <v>56.654000000000003</v>
      </c>
      <c r="H12" s="77">
        <v>39943525</v>
      </c>
      <c r="I12" s="77">
        <v>1.2E-2</v>
      </c>
      <c r="J12" s="77">
        <v>31020482</v>
      </c>
      <c r="K12" s="77">
        <v>17808025</v>
      </c>
      <c r="L12" s="77">
        <v>13212457</v>
      </c>
      <c r="M12" s="77">
        <v>25788217</v>
      </c>
      <c r="N12" s="77">
        <v>3.202</v>
      </c>
      <c r="O12" s="77">
        <v>37.9</v>
      </c>
      <c r="P12" s="77">
        <v>15.504</v>
      </c>
      <c r="Q12" s="77">
        <v>10.129</v>
      </c>
      <c r="R12" s="77">
        <v>44648.71</v>
      </c>
    </row>
    <row r="13" spans="1:18">
      <c r="A13" s="77" t="s">
        <v>147</v>
      </c>
      <c r="B13" s="77" t="s">
        <v>162</v>
      </c>
      <c r="C13" s="98">
        <v>44480</v>
      </c>
      <c r="D13" s="77">
        <v>762538</v>
      </c>
      <c r="E13" s="77">
        <v>11106</v>
      </c>
      <c r="F13" s="77">
        <v>84322.894</v>
      </c>
      <c r="G13" s="77">
        <v>1228.1220000000001</v>
      </c>
      <c r="H13" s="77">
        <v>90377770</v>
      </c>
      <c r="I13" s="77">
        <v>5.0000000000000001E-3</v>
      </c>
      <c r="J13" s="77">
        <v>10957619</v>
      </c>
      <c r="K13" s="77">
        <v>5790455</v>
      </c>
      <c r="L13" s="77">
        <v>5483648</v>
      </c>
      <c r="M13" s="77">
        <v>9043072</v>
      </c>
      <c r="N13" s="77">
        <v>106.749</v>
      </c>
      <c r="O13" s="77">
        <v>44.4</v>
      </c>
      <c r="P13" s="77">
        <v>19.202000000000002</v>
      </c>
      <c r="Q13" s="77">
        <v>13.747999999999999</v>
      </c>
      <c r="R13" s="77">
        <v>45436.686000000002</v>
      </c>
    </row>
    <row r="14" spans="1:18">
      <c r="A14" s="77" t="s">
        <v>145</v>
      </c>
      <c r="B14" s="77" t="s">
        <v>163</v>
      </c>
      <c r="C14" s="98">
        <v>44480</v>
      </c>
      <c r="D14" s="77">
        <v>492790</v>
      </c>
      <c r="E14" s="77">
        <v>6677</v>
      </c>
      <c r="F14" s="77">
        <v>48202.428</v>
      </c>
      <c r="G14" s="77">
        <v>653.11300000000006</v>
      </c>
      <c r="H14" s="77">
        <v>4952737</v>
      </c>
      <c r="I14" s="77">
        <v>8.6999999999999994E-2</v>
      </c>
      <c r="J14" s="77">
        <v>8997289</v>
      </c>
      <c r="K14" s="77">
        <v>4889404</v>
      </c>
      <c r="L14" s="77">
        <v>4107885</v>
      </c>
      <c r="M14" s="77">
        <v>10223344</v>
      </c>
      <c r="N14" s="77">
        <v>119.309</v>
      </c>
      <c r="O14" s="77">
        <v>32.4</v>
      </c>
      <c r="P14" s="77">
        <v>6.0179999999999998</v>
      </c>
      <c r="Q14" s="77">
        <v>3.871</v>
      </c>
      <c r="R14" s="77">
        <v>15847.419</v>
      </c>
    </row>
    <row r="15" spans="1:18">
      <c r="A15" s="77" t="s">
        <v>153</v>
      </c>
      <c r="B15" s="77" t="s">
        <v>164</v>
      </c>
      <c r="C15" s="98">
        <v>44480</v>
      </c>
      <c r="D15" s="77">
        <v>21580</v>
      </c>
      <c r="E15" s="77">
        <v>590</v>
      </c>
      <c r="F15" s="77">
        <v>54369.46</v>
      </c>
      <c r="G15" s="77">
        <v>1486.4680000000001</v>
      </c>
      <c r="H15" s="77">
        <v>147633</v>
      </c>
      <c r="I15" s="77">
        <v>0.17799999999999999</v>
      </c>
      <c r="J15" s="77">
        <v>224531</v>
      </c>
      <c r="K15" s="77">
        <v>129121</v>
      </c>
      <c r="L15" s="77">
        <v>100098</v>
      </c>
      <c r="M15" s="77">
        <v>396914</v>
      </c>
      <c r="N15" s="77">
        <v>39.497</v>
      </c>
      <c r="O15" s="77">
        <v>34.299999999999997</v>
      </c>
      <c r="P15" s="77">
        <v>8.9960000000000004</v>
      </c>
      <c r="Q15" s="77">
        <v>5.2</v>
      </c>
      <c r="R15" s="77">
        <v>27717.847000000002</v>
      </c>
    </row>
    <row r="16" spans="1:18">
      <c r="A16" s="77" t="s">
        <v>145</v>
      </c>
      <c r="B16" s="77" t="s">
        <v>165</v>
      </c>
      <c r="C16" s="98">
        <v>44480</v>
      </c>
      <c r="D16" s="77">
        <v>275734</v>
      </c>
      <c r="E16" s="77">
        <v>1390</v>
      </c>
      <c r="F16" s="77">
        <v>157715.946</v>
      </c>
      <c r="G16" s="77">
        <v>795.06</v>
      </c>
      <c r="H16" s="77">
        <v>6612314</v>
      </c>
      <c r="I16" s="77">
        <v>4.0000000000000001E-3</v>
      </c>
      <c r="J16" s="77">
        <v>2669575</v>
      </c>
      <c r="K16" s="77">
        <v>1168806</v>
      </c>
      <c r="L16" s="77">
        <v>1129802</v>
      </c>
      <c r="M16" s="77">
        <v>1748295</v>
      </c>
      <c r="N16" s="77">
        <v>1935.9069999999999</v>
      </c>
      <c r="O16" s="77">
        <v>32.4</v>
      </c>
      <c r="P16" s="77">
        <v>2.3719999999999999</v>
      </c>
      <c r="Q16" s="77">
        <v>1.387</v>
      </c>
      <c r="R16" s="77">
        <v>43290.705000000002</v>
      </c>
    </row>
    <row r="17" spans="1:18">
      <c r="A17" s="77" t="s">
        <v>145</v>
      </c>
      <c r="B17" s="77" t="s">
        <v>166</v>
      </c>
      <c r="C17" s="98">
        <v>44480</v>
      </c>
      <c r="D17" s="77">
        <v>1562958</v>
      </c>
      <c r="E17" s="77">
        <v>27699</v>
      </c>
      <c r="F17" s="77">
        <v>9398.2270000000008</v>
      </c>
      <c r="G17" s="77">
        <v>166.55699999999999</v>
      </c>
      <c r="H17" s="77">
        <v>9907321</v>
      </c>
      <c r="I17" s="77">
        <v>3.5000000000000003E-2</v>
      </c>
      <c r="J17" s="77">
        <v>54798986</v>
      </c>
      <c r="K17" s="77">
        <v>36580037</v>
      </c>
      <c r="L17" s="77">
        <v>18218949</v>
      </c>
      <c r="M17" s="99">
        <v>166303494</v>
      </c>
      <c r="N17" s="77">
        <v>1265.0360000000001</v>
      </c>
      <c r="O17" s="77">
        <v>27.5</v>
      </c>
      <c r="P17" s="77">
        <v>5.0979999999999999</v>
      </c>
      <c r="Q17" s="77">
        <v>3.262</v>
      </c>
      <c r="R17" s="77">
        <v>3523.9839999999999</v>
      </c>
    </row>
    <row r="18" spans="1:18">
      <c r="A18" s="77" t="s">
        <v>153</v>
      </c>
      <c r="B18" s="77" t="s">
        <v>167</v>
      </c>
      <c r="C18" s="98">
        <v>44480</v>
      </c>
      <c r="D18" s="77">
        <v>11132</v>
      </c>
      <c r="E18" s="77">
        <v>98</v>
      </c>
      <c r="F18" s="77">
        <v>38692.006999999998</v>
      </c>
      <c r="G18" s="77">
        <v>340.62299999999999</v>
      </c>
      <c r="J18" s="77">
        <v>253554</v>
      </c>
      <c r="K18" s="77">
        <v>141820</v>
      </c>
      <c r="L18" s="77">
        <v>111734</v>
      </c>
      <c r="M18" s="77">
        <v>287708</v>
      </c>
      <c r="N18" s="77">
        <v>664.46299999999997</v>
      </c>
      <c r="O18" s="77">
        <v>39.799999999999997</v>
      </c>
      <c r="P18" s="77">
        <v>14.952</v>
      </c>
      <c r="Q18" s="77">
        <v>9.4730000000000008</v>
      </c>
      <c r="R18" s="77">
        <v>16978.067999999999</v>
      </c>
    </row>
    <row r="19" spans="1:18">
      <c r="A19" s="77" t="s">
        <v>147</v>
      </c>
      <c r="B19" s="77" t="s">
        <v>168</v>
      </c>
      <c r="C19" s="98">
        <v>44480</v>
      </c>
      <c r="D19" s="77">
        <v>559715</v>
      </c>
      <c r="E19" s="77">
        <v>4304</v>
      </c>
      <c r="F19" s="77">
        <v>59273.841</v>
      </c>
      <c r="G19" s="77">
        <v>455.79399999999998</v>
      </c>
      <c r="J19" s="77">
        <v>3862369</v>
      </c>
      <c r="K19" s="77">
        <v>2234696</v>
      </c>
      <c r="L19" s="77">
        <v>1627673</v>
      </c>
      <c r="M19" s="77">
        <v>9442867</v>
      </c>
      <c r="N19" s="77">
        <v>46.857999999999997</v>
      </c>
      <c r="O19" s="77">
        <v>40.299999999999997</v>
      </c>
      <c r="P19" s="77">
        <v>14.798999999999999</v>
      </c>
      <c r="Q19" s="77">
        <v>9.7880000000000003</v>
      </c>
      <c r="R19" s="77">
        <v>17167.967000000001</v>
      </c>
    </row>
    <row r="20" spans="1:18">
      <c r="A20" s="77" t="s">
        <v>147</v>
      </c>
      <c r="B20" s="77" t="s">
        <v>169</v>
      </c>
      <c r="C20" s="98">
        <v>44480</v>
      </c>
      <c r="D20" s="77">
        <v>1266562</v>
      </c>
      <c r="E20" s="77">
        <v>25695</v>
      </c>
      <c r="F20" s="77">
        <v>108882.878</v>
      </c>
      <c r="G20" s="77">
        <v>2208.9290000000001</v>
      </c>
      <c r="H20" s="77">
        <v>20514883</v>
      </c>
      <c r="I20" s="77">
        <v>5.0999999999999997E-2</v>
      </c>
      <c r="J20" s="77">
        <v>16712328</v>
      </c>
      <c r="K20" s="77">
        <v>8632421</v>
      </c>
      <c r="L20" s="77">
        <v>8470856</v>
      </c>
      <c r="M20" s="77">
        <v>11632334</v>
      </c>
      <c r="N20" s="77">
        <v>375.56400000000002</v>
      </c>
      <c r="O20" s="77">
        <v>41.8</v>
      </c>
      <c r="P20" s="77">
        <v>18.571000000000002</v>
      </c>
      <c r="Q20" s="77">
        <v>12.849</v>
      </c>
      <c r="R20" s="77">
        <v>42658.576000000001</v>
      </c>
    </row>
    <row r="21" spans="1:18">
      <c r="A21" s="77" t="s">
        <v>153</v>
      </c>
      <c r="B21" s="77" t="s">
        <v>170</v>
      </c>
      <c r="C21" s="98">
        <v>44480</v>
      </c>
      <c r="D21" s="77">
        <v>22187</v>
      </c>
      <c r="E21" s="77">
        <v>427</v>
      </c>
      <c r="F21" s="77">
        <v>54794.216</v>
      </c>
      <c r="G21" s="77">
        <v>1054.5419999999999</v>
      </c>
      <c r="H21" s="77">
        <v>278894</v>
      </c>
      <c r="I21" s="77">
        <v>7.5999999999999998E-2</v>
      </c>
      <c r="J21" s="77">
        <v>344463</v>
      </c>
      <c r="K21" s="77">
        <v>199932</v>
      </c>
      <c r="L21" s="77">
        <v>144531</v>
      </c>
      <c r="M21" s="77">
        <v>404915</v>
      </c>
      <c r="N21" s="77">
        <v>16.425999999999998</v>
      </c>
      <c r="O21" s="77">
        <v>25</v>
      </c>
      <c r="P21" s="77">
        <v>3.8530000000000002</v>
      </c>
      <c r="Q21" s="77">
        <v>2.2789999999999999</v>
      </c>
      <c r="R21" s="77">
        <v>7824.3620000000001</v>
      </c>
    </row>
    <row r="22" spans="1:18">
      <c r="A22" s="77" t="s">
        <v>149</v>
      </c>
      <c r="B22" s="77" t="s">
        <v>171</v>
      </c>
      <c r="C22" s="98">
        <v>44480</v>
      </c>
      <c r="D22" s="77">
        <v>24335</v>
      </c>
      <c r="E22" s="77">
        <v>159</v>
      </c>
      <c r="F22" s="77">
        <v>1954.4570000000001</v>
      </c>
      <c r="G22" s="77">
        <v>12.77</v>
      </c>
      <c r="J22" s="77">
        <v>247674</v>
      </c>
      <c r="K22" s="77">
        <v>226269</v>
      </c>
      <c r="L22" s="77">
        <v>21405</v>
      </c>
      <c r="M22" s="77">
        <v>12451031</v>
      </c>
      <c r="N22" s="77">
        <v>99.11</v>
      </c>
      <c r="O22" s="77">
        <v>18.8</v>
      </c>
      <c r="P22" s="77">
        <v>3.2440000000000002</v>
      </c>
      <c r="Q22" s="77">
        <v>1.9419999999999999</v>
      </c>
      <c r="R22" s="77">
        <v>2064.2359999999999</v>
      </c>
    </row>
    <row r="23" spans="1:18">
      <c r="A23" s="77" t="s">
        <v>153</v>
      </c>
      <c r="B23" s="77" t="s">
        <v>172</v>
      </c>
      <c r="C23" s="98">
        <v>44477</v>
      </c>
      <c r="J23" s="77">
        <v>87723</v>
      </c>
      <c r="K23" s="77">
        <v>44573</v>
      </c>
      <c r="L23" s="77">
        <v>43150</v>
      </c>
      <c r="M23" s="77">
        <v>62092</v>
      </c>
      <c r="N23" s="77">
        <v>1308.82</v>
      </c>
      <c r="R23" s="77">
        <v>50669.315000000002</v>
      </c>
    </row>
    <row r="24" spans="1:18">
      <c r="A24" s="77" t="s">
        <v>145</v>
      </c>
      <c r="B24" s="77" t="s">
        <v>173</v>
      </c>
      <c r="C24" s="98">
        <v>44480</v>
      </c>
      <c r="D24" s="77">
        <v>2613</v>
      </c>
      <c r="E24" s="77">
        <v>3</v>
      </c>
      <c r="F24" s="77">
        <v>3350.43</v>
      </c>
      <c r="G24" s="77">
        <v>3.847</v>
      </c>
      <c r="H24" s="77">
        <v>1160858</v>
      </c>
      <c r="I24" s="77">
        <v>1E-3</v>
      </c>
      <c r="J24" s="77">
        <v>1083271</v>
      </c>
      <c r="K24" s="77">
        <v>584977</v>
      </c>
      <c r="L24" s="77">
        <v>498294</v>
      </c>
      <c r="M24" s="77">
        <v>779900</v>
      </c>
      <c r="N24" s="77">
        <v>21.187999999999999</v>
      </c>
      <c r="O24" s="77">
        <v>28.6</v>
      </c>
      <c r="P24" s="77">
        <v>4.8849999999999998</v>
      </c>
      <c r="Q24" s="77">
        <v>2.9769999999999999</v>
      </c>
      <c r="R24" s="77">
        <v>8708.5969999999998</v>
      </c>
    </row>
    <row r="25" spans="1:18">
      <c r="A25" s="77" t="s">
        <v>156</v>
      </c>
      <c r="B25" s="77" t="s">
        <v>174</v>
      </c>
      <c r="C25" s="98">
        <v>44480</v>
      </c>
      <c r="D25" s="77">
        <v>504121</v>
      </c>
      <c r="E25" s="77">
        <v>18803</v>
      </c>
      <c r="F25" s="77">
        <v>42603.205000000002</v>
      </c>
      <c r="G25" s="77">
        <v>1589.039</v>
      </c>
      <c r="H25" s="77">
        <v>2456130</v>
      </c>
      <c r="I25" s="77">
        <v>5.5E-2</v>
      </c>
      <c r="J25" s="77">
        <v>6931689</v>
      </c>
      <c r="K25" s="77">
        <v>4357421</v>
      </c>
      <c r="L25" s="77">
        <v>3465762</v>
      </c>
      <c r="M25" s="77">
        <v>11832936</v>
      </c>
      <c r="N25" s="77">
        <v>10.202</v>
      </c>
      <c r="O25" s="77">
        <v>25.4</v>
      </c>
      <c r="P25" s="77">
        <v>6.7039999999999997</v>
      </c>
      <c r="Q25" s="77">
        <v>4.3929999999999998</v>
      </c>
      <c r="R25" s="77">
        <v>6885.8289999999997</v>
      </c>
    </row>
    <row r="26" spans="1:18">
      <c r="A26" s="77" t="s">
        <v>147</v>
      </c>
      <c r="B26" s="77" t="s">
        <v>175</v>
      </c>
      <c r="C26" s="98">
        <v>44480</v>
      </c>
      <c r="D26" s="77">
        <v>241227</v>
      </c>
      <c r="E26" s="77">
        <v>10965</v>
      </c>
      <c r="F26" s="77">
        <v>73917.582999999999</v>
      </c>
      <c r="G26" s="77">
        <v>3359.9319999999998</v>
      </c>
      <c r="H26" s="77">
        <v>1253492</v>
      </c>
      <c r="I26" s="77">
        <v>0.23799999999999999</v>
      </c>
      <c r="J26" s="77">
        <v>1242203</v>
      </c>
      <c r="K26" s="77">
        <v>734195</v>
      </c>
      <c r="L26" s="77">
        <v>508008</v>
      </c>
      <c r="M26" s="77">
        <v>3263459</v>
      </c>
      <c r="N26" s="77">
        <v>68.495999999999995</v>
      </c>
      <c r="O26" s="77">
        <v>42.5</v>
      </c>
      <c r="P26" s="77">
        <v>16.568999999999999</v>
      </c>
      <c r="Q26" s="77">
        <v>10.711</v>
      </c>
      <c r="R26" s="77">
        <v>11713.895</v>
      </c>
    </row>
    <row r="27" spans="1:18">
      <c r="A27" s="77" t="s">
        <v>149</v>
      </c>
      <c r="B27" s="77" t="s">
        <v>176</v>
      </c>
      <c r="C27" s="98">
        <v>44480</v>
      </c>
      <c r="D27" s="77">
        <v>181251</v>
      </c>
      <c r="E27" s="77">
        <v>2381</v>
      </c>
      <c r="F27" s="77">
        <v>75608.198999999993</v>
      </c>
      <c r="G27" s="77">
        <v>993.226</v>
      </c>
      <c r="J27" s="77">
        <v>690001</v>
      </c>
      <c r="K27" s="77">
        <v>444442</v>
      </c>
      <c r="L27" s="77">
        <v>245559</v>
      </c>
      <c r="M27" s="77">
        <v>2397240</v>
      </c>
      <c r="N27" s="77">
        <v>4.0439999999999996</v>
      </c>
      <c r="O27" s="77">
        <v>25.8</v>
      </c>
      <c r="P27" s="77">
        <v>3.9409999999999998</v>
      </c>
      <c r="Q27" s="77">
        <v>2.242</v>
      </c>
      <c r="R27" s="77">
        <v>15807.374</v>
      </c>
    </row>
    <row r="28" spans="1:18">
      <c r="A28" s="77" t="s">
        <v>156</v>
      </c>
      <c r="B28" s="77" t="s">
        <v>177</v>
      </c>
      <c r="C28" s="98">
        <v>44480</v>
      </c>
      <c r="D28" s="77">
        <v>21582738</v>
      </c>
      <c r="E28" s="77">
        <v>601213</v>
      </c>
      <c r="F28" s="77">
        <v>100857.007</v>
      </c>
      <c r="G28" s="77">
        <v>2809.4929999999999</v>
      </c>
      <c r="J28" s="77">
        <v>249340259</v>
      </c>
      <c r="K28" s="77">
        <v>154414034</v>
      </c>
      <c r="L28" s="77">
        <v>99584719</v>
      </c>
      <c r="M28" s="77">
        <v>213993441</v>
      </c>
      <c r="N28" s="77">
        <v>25.04</v>
      </c>
      <c r="O28" s="77">
        <v>33.5</v>
      </c>
      <c r="P28" s="77">
        <v>8.5519999999999996</v>
      </c>
      <c r="Q28" s="77">
        <v>5.0599999999999996</v>
      </c>
      <c r="R28" s="77">
        <v>14103.451999999999</v>
      </c>
    </row>
    <row r="29" spans="1:18">
      <c r="A29" s="77" t="s">
        <v>153</v>
      </c>
      <c r="B29" s="77" t="s">
        <v>178</v>
      </c>
      <c r="C29" s="98">
        <v>44477</v>
      </c>
      <c r="J29" s="77">
        <v>33075</v>
      </c>
      <c r="K29" s="77">
        <v>17607</v>
      </c>
      <c r="L29" s="77">
        <v>15468</v>
      </c>
      <c r="M29" s="77">
        <v>30423</v>
      </c>
      <c r="N29" s="77">
        <v>207.97300000000001</v>
      </c>
    </row>
    <row r="30" spans="1:18">
      <c r="A30" s="77" t="s">
        <v>145</v>
      </c>
      <c r="B30" s="77" t="s">
        <v>179</v>
      </c>
      <c r="C30" s="98">
        <v>44480</v>
      </c>
      <c r="D30" s="77">
        <v>9167</v>
      </c>
      <c r="E30" s="77">
        <v>64</v>
      </c>
      <c r="F30" s="77">
        <v>20761.802</v>
      </c>
      <c r="G30" s="77">
        <v>144.94999999999999</v>
      </c>
      <c r="J30" s="77">
        <v>542019</v>
      </c>
      <c r="K30" s="77">
        <v>330410</v>
      </c>
      <c r="L30" s="77">
        <v>211609</v>
      </c>
      <c r="M30" s="77">
        <v>441532</v>
      </c>
      <c r="N30" s="77">
        <v>81.346999999999994</v>
      </c>
      <c r="O30" s="77">
        <v>32.4</v>
      </c>
      <c r="P30" s="77">
        <v>4.5910000000000002</v>
      </c>
      <c r="Q30" s="77">
        <v>2.3820000000000001</v>
      </c>
      <c r="R30" s="77">
        <v>71809.251000000004</v>
      </c>
    </row>
    <row r="31" spans="1:18">
      <c r="A31" s="77" t="s">
        <v>147</v>
      </c>
      <c r="B31" s="77" t="s">
        <v>180</v>
      </c>
      <c r="C31" s="98">
        <v>44480</v>
      </c>
      <c r="D31" s="77">
        <v>524333</v>
      </c>
      <c r="E31" s="77">
        <v>21813</v>
      </c>
      <c r="F31" s="77">
        <v>76027.145999999993</v>
      </c>
      <c r="G31" s="77">
        <v>3162.8380000000002</v>
      </c>
      <c r="H31" s="77">
        <v>4990220</v>
      </c>
      <c r="I31" s="77">
        <v>0.126</v>
      </c>
      <c r="J31" s="77">
        <v>2593879</v>
      </c>
      <c r="K31" s="77">
        <v>1407830</v>
      </c>
      <c r="L31" s="77">
        <v>1365088</v>
      </c>
      <c r="M31" s="77">
        <v>6896655</v>
      </c>
      <c r="N31" s="77">
        <v>65.180000000000007</v>
      </c>
      <c r="O31" s="77">
        <v>44.7</v>
      </c>
      <c r="P31" s="77">
        <v>20.800999999999998</v>
      </c>
      <c r="Q31" s="77">
        <v>13.272</v>
      </c>
      <c r="R31" s="77">
        <v>18563.307000000001</v>
      </c>
    </row>
    <row r="32" spans="1:18">
      <c r="A32" s="77" t="s">
        <v>149</v>
      </c>
      <c r="B32" s="77" t="s">
        <v>181</v>
      </c>
      <c r="C32" s="98">
        <v>44480</v>
      </c>
      <c r="D32" s="77">
        <v>14516</v>
      </c>
      <c r="E32" s="77">
        <v>195</v>
      </c>
      <c r="F32" s="77">
        <v>675.25400000000002</v>
      </c>
      <c r="G32" s="77">
        <v>9.0709999999999997</v>
      </c>
      <c r="J32" s="77">
        <v>297231</v>
      </c>
      <c r="K32" s="77">
        <v>273428</v>
      </c>
      <c r="L32" s="77">
        <v>208994</v>
      </c>
      <c r="M32" s="77">
        <v>21497097</v>
      </c>
      <c r="N32" s="77">
        <v>70.150999999999996</v>
      </c>
      <c r="O32" s="77">
        <v>17.600000000000001</v>
      </c>
      <c r="P32" s="77">
        <v>2.4089999999999998</v>
      </c>
      <c r="Q32" s="77">
        <v>1.3580000000000001</v>
      </c>
      <c r="R32" s="77">
        <v>1703.1020000000001</v>
      </c>
    </row>
    <row r="33" spans="1:18">
      <c r="A33" s="77" t="s">
        <v>149</v>
      </c>
      <c r="B33" s="77" t="s">
        <v>182</v>
      </c>
      <c r="C33" s="98">
        <v>44480</v>
      </c>
      <c r="D33" s="77">
        <v>19257</v>
      </c>
      <c r="E33" s="77">
        <v>38</v>
      </c>
      <c r="F33" s="77">
        <v>1571.3040000000001</v>
      </c>
      <c r="G33" s="77">
        <v>3.101</v>
      </c>
      <c r="M33" s="77">
        <v>12255429</v>
      </c>
      <c r="N33" s="77">
        <v>423.06200000000001</v>
      </c>
      <c r="O33" s="77">
        <v>17.5</v>
      </c>
      <c r="P33" s="77">
        <v>2.5619999999999998</v>
      </c>
      <c r="Q33" s="77">
        <v>1.504</v>
      </c>
      <c r="R33" s="77">
        <v>702.22500000000002</v>
      </c>
    </row>
    <row r="34" spans="1:18">
      <c r="A34" s="77" t="s">
        <v>145</v>
      </c>
      <c r="B34" s="77" t="s">
        <v>183</v>
      </c>
      <c r="C34" s="98">
        <v>44480</v>
      </c>
      <c r="D34" s="77">
        <v>115068</v>
      </c>
      <c r="E34" s="77">
        <v>2527</v>
      </c>
      <c r="F34" s="77">
        <v>6790.0959999999995</v>
      </c>
      <c r="G34" s="77">
        <v>149.11699999999999</v>
      </c>
      <c r="J34" s="77">
        <v>25162526</v>
      </c>
      <c r="K34" s="77">
        <v>13510285</v>
      </c>
      <c r="L34" s="77">
        <v>11724361</v>
      </c>
      <c r="M34" s="77">
        <v>16946446</v>
      </c>
      <c r="N34" s="77">
        <v>90.671999999999997</v>
      </c>
      <c r="O34" s="77">
        <v>25.6</v>
      </c>
      <c r="P34" s="77">
        <v>4.4119999999999999</v>
      </c>
      <c r="Q34" s="77">
        <v>2.3849999999999998</v>
      </c>
      <c r="R34" s="77">
        <v>3645.07</v>
      </c>
    </row>
    <row r="35" spans="1:18">
      <c r="A35" s="77" t="s">
        <v>149</v>
      </c>
      <c r="B35" s="77" t="s">
        <v>184</v>
      </c>
      <c r="C35" s="98">
        <v>44480</v>
      </c>
      <c r="D35" s="77">
        <v>95399</v>
      </c>
      <c r="E35" s="77">
        <v>1517</v>
      </c>
      <c r="F35" s="77">
        <v>3504.19</v>
      </c>
      <c r="G35" s="77">
        <v>55.722000000000001</v>
      </c>
      <c r="J35" s="77">
        <v>476512</v>
      </c>
      <c r="K35" s="77">
        <v>391795</v>
      </c>
      <c r="L35" s="77">
        <v>84717</v>
      </c>
      <c r="M35" s="77">
        <v>27224262</v>
      </c>
      <c r="N35" s="77">
        <v>50.884999999999998</v>
      </c>
      <c r="O35" s="77">
        <v>18.8</v>
      </c>
      <c r="P35" s="77">
        <v>3.165</v>
      </c>
      <c r="Q35" s="77">
        <v>1.919</v>
      </c>
      <c r="R35" s="77">
        <v>3364.9259999999999</v>
      </c>
    </row>
    <row r="36" spans="1:18">
      <c r="A36" s="77" t="s">
        <v>153</v>
      </c>
      <c r="B36" s="77" t="s">
        <v>185</v>
      </c>
      <c r="C36" s="98">
        <v>44480</v>
      </c>
      <c r="D36" s="77">
        <v>1668009</v>
      </c>
      <c r="E36" s="77">
        <v>28264</v>
      </c>
      <c r="F36" s="77">
        <v>43816.665000000001</v>
      </c>
      <c r="G36" s="77">
        <v>742.46299999999997</v>
      </c>
      <c r="H36" s="77">
        <v>44186056</v>
      </c>
      <c r="I36" s="77">
        <v>3.5999999999999997E-2</v>
      </c>
      <c r="J36" s="77">
        <v>57071632</v>
      </c>
      <c r="K36" s="77">
        <v>29363912</v>
      </c>
      <c r="L36" s="77">
        <v>27431198</v>
      </c>
      <c r="M36" s="77">
        <v>38067913</v>
      </c>
      <c r="N36" s="77">
        <v>4.0369999999999999</v>
      </c>
      <c r="O36" s="77">
        <v>41.4</v>
      </c>
      <c r="P36" s="77">
        <v>16.984000000000002</v>
      </c>
      <c r="Q36" s="77">
        <v>10.797000000000001</v>
      </c>
      <c r="R36" s="77">
        <v>44017.591</v>
      </c>
    </row>
    <row r="37" spans="1:18">
      <c r="A37" s="77" t="s">
        <v>149</v>
      </c>
      <c r="B37" s="77" t="s">
        <v>186</v>
      </c>
      <c r="C37" s="98">
        <v>44480</v>
      </c>
      <c r="D37" s="77">
        <v>37902</v>
      </c>
      <c r="E37" s="77">
        <v>346</v>
      </c>
      <c r="F37" s="77">
        <v>67453.163</v>
      </c>
      <c r="G37" s="77">
        <v>615.76700000000005</v>
      </c>
      <c r="J37" s="77">
        <v>460484</v>
      </c>
      <c r="K37" s="77">
        <v>291055</v>
      </c>
      <c r="L37" s="77">
        <v>166158</v>
      </c>
      <c r="M37" s="77">
        <v>561901</v>
      </c>
      <c r="N37" s="77">
        <v>135.58000000000001</v>
      </c>
      <c r="O37" s="77">
        <v>25.7</v>
      </c>
      <c r="P37" s="77">
        <v>4.46</v>
      </c>
      <c r="Q37" s="77">
        <v>3.4369999999999998</v>
      </c>
      <c r="R37" s="77">
        <v>6222.5540000000001</v>
      </c>
    </row>
    <row r="38" spans="1:18">
      <c r="A38" s="77" t="s">
        <v>153</v>
      </c>
      <c r="B38" s="77" t="s">
        <v>187</v>
      </c>
      <c r="C38" s="98">
        <v>44477</v>
      </c>
      <c r="J38" s="77">
        <v>108614</v>
      </c>
      <c r="K38" s="77">
        <v>55530</v>
      </c>
      <c r="L38" s="77">
        <v>55530</v>
      </c>
      <c r="M38" s="77">
        <v>66498</v>
      </c>
      <c r="N38" s="77">
        <v>256.49599999999998</v>
      </c>
      <c r="R38" s="77">
        <v>49903.029000000002</v>
      </c>
    </row>
    <row r="39" spans="1:18">
      <c r="A39" s="77" t="s">
        <v>149</v>
      </c>
      <c r="B39" s="77" t="s">
        <v>188</v>
      </c>
      <c r="C39" s="98">
        <v>44480</v>
      </c>
      <c r="D39" s="77">
        <v>11401</v>
      </c>
      <c r="E39" s="77">
        <v>100</v>
      </c>
      <c r="F39" s="77">
        <v>2317.2829999999999</v>
      </c>
      <c r="G39" s="77">
        <v>20.324999999999999</v>
      </c>
      <c r="J39" s="77">
        <v>207004</v>
      </c>
      <c r="K39" s="77">
        <v>197103</v>
      </c>
      <c r="L39" s="77">
        <v>9901</v>
      </c>
      <c r="M39" s="77">
        <v>4919987</v>
      </c>
      <c r="N39" s="77">
        <v>7.4790000000000001</v>
      </c>
      <c r="O39" s="77">
        <v>18.3</v>
      </c>
      <c r="P39" s="77">
        <v>3.6549999999999998</v>
      </c>
      <c r="Q39" s="77">
        <v>2.2509999999999999</v>
      </c>
      <c r="R39" s="77">
        <v>661.24</v>
      </c>
    </row>
    <row r="40" spans="1:18">
      <c r="A40" s="77" t="s">
        <v>149</v>
      </c>
      <c r="B40" s="77" t="s">
        <v>189</v>
      </c>
      <c r="C40" s="98">
        <v>44480</v>
      </c>
      <c r="D40" s="77">
        <v>5061</v>
      </c>
      <c r="E40" s="77">
        <v>174</v>
      </c>
      <c r="F40" s="77">
        <v>299.202</v>
      </c>
      <c r="G40" s="77">
        <v>10.287000000000001</v>
      </c>
      <c r="J40" s="77">
        <v>173184</v>
      </c>
      <c r="K40" s="77">
        <v>139591</v>
      </c>
      <c r="L40" s="77">
        <v>33593</v>
      </c>
      <c r="M40" s="77">
        <v>16914985</v>
      </c>
      <c r="N40" s="77">
        <v>11.833</v>
      </c>
      <c r="O40" s="77">
        <v>16.7</v>
      </c>
      <c r="P40" s="77">
        <v>2.4860000000000002</v>
      </c>
      <c r="Q40" s="77">
        <v>1.446</v>
      </c>
      <c r="R40" s="77">
        <v>1768.153</v>
      </c>
    </row>
    <row r="41" spans="1:18">
      <c r="A41" s="77" t="s">
        <v>156</v>
      </c>
      <c r="B41" s="77" t="s">
        <v>190</v>
      </c>
      <c r="C41" s="98">
        <v>44480</v>
      </c>
      <c r="D41" s="77">
        <v>1663383</v>
      </c>
      <c r="E41" s="77">
        <v>37571</v>
      </c>
      <c r="F41" s="77">
        <v>86578.786999999997</v>
      </c>
      <c r="G41" s="77">
        <v>1955.5640000000001</v>
      </c>
      <c r="H41" s="77">
        <v>22194480</v>
      </c>
      <c r="I41" s="77">
        <v>1.6E-2</v>
      </c>
      <c r="J41" s="77">
        <v>33398155</v>
      </c>
      <c r="K41" s="77">
        <v>15929675</v>
      </c>
      <c r="L41" s="77">
        <v>14215986</v>
      </c>
      <c r="M41" s="77">
        <v>19212362</v>
      </c>
      <c r="N41" s="77">
        <v>24.282</v>
      </c>
      <c r="O41" s="77">
        <v>35.4</v>
      </c>
      <c r="P41" s="77">
        <v>11.087</v>
      </c>
      <c r="Q41" s="77">
        <v>6.9379999999999997</v>
      </c>
      <c r="R41" s="77">
        <v>22767.037</v>
      </c>
    </row>
    <row r="42" spans="1:18">
      <c r="A42" s="77" t="s">
        <v>145</v>
      </c>
      <c r="B42" s="77" t="s">
        <v>191</v>
      </c>
      <c r="C42" s="98">
        <v>44480</v>
      </c>
      <c r="D42" s="77">
        <v>96512</v>
      </c>
      <c r="E42" s="77">
        <v>4636</v>
      </c>
      <c r="F42" s="77">
        <v>66.826999999999998</v>
      </c>
      <c r="G42" s="77">
        <v>3.21</v>
      </c>
      <c r="J42" s="77">
        <v>2222666000</v>
      </c>
      <c r="K42" s="77">
        <v>1154856151</v>
      </c>
      <c r="L42" s="77">
        <v>1047872000</v>
      </c>
      <c r="M42" s="77">
        <v>1444216102</v>
      </c>
      <c r="N42" s="77">
        <v>147.67400000000001</v>
      </c>
      <c r="O42" s="77">
        <v>38.700000000000003</v>
      </c>
      <c r="P42" s="77">
        <v>10.641</v>
      </c>
      <c r="Q42" s="77">
        <v>5.9290000000000003</v>
      </c>
      <c r="R42" s="77">
        <v>15308.712</v>
      </c>
    </row>
    <row r="43" spans="1:18">
      <c r="A43" s="77" t="s">
        <v>156</v>
      </c>
      <c r="B43" s="77" t="s">
        <v>192</v>
      </c>
      <c r="C43" s="98">
        <v>44480</v>
      </c>
      <c r="D43" s="77">
        <v>4973325</v>
      </c>
      <c r="E43" s="77">
        <v>126655</v>
      </c>
      <c r="F43" s="77">
        <v>97010.502999999997</v>
      </c>
      <c r="G43" s="77">
        <v>2470.5529999999999</v>
      </c>
      <c r="H43" s="77">
        <v>25954762</v>
      </c>
      <c r="I43" s="77">
        <v>3.6999999999999998E-2</v>
      </c>
      <c r="J43" s="77">
        <v>42885532</v>
      </c>
      <c r="K43" s="77">
        <v>27832514</v>
      </c>
      <c r="L43" s="77">
        <v>18501504</v>
      </c>
      <c r="M43" s="77">
        <v>51265841</v>
      </c>
      <c r="N43" s="77">
        <v>44.222999999999999</v>
      </c>
      <c r="O43" s="77">
        <v>32.200000000000003</v>
      </c>
      <c r="P43" s="77">
        <v>7.6459999999999999</v>
      </c>
      <c r="Q43" s="77">
        <v>4.3120000000000003</v>
      </c>
      <c r="R43" s="77">
        <v>13254.949000000001</v>
      </c>
    </row>
    <row r="44" spans="1:18">
      <c r="A44" s="77" t="s">
        <v>149</v>
      </c>
      <c r="B44" s="77" t="s">
        <v>193</v>
      </c>
      <c r="C44" s="98">
        <v>44480</v>
      </c>
      <c r="D44" s="77">
        <v>4166</v>
      </c>
      <c r="E44" s="77">
        <v>147</v>
      </c>
      <c r="F44" s="77">
        <v>4689.0339999999997</v>
      </c>
      <c r="G44" s="77">
        <v>165.45599999999999</v>
      </c>
      <c r="J44" s="77">
        <v>360675</v>
      </c>
      <c r="K44" s="77">
        <v>198577</v>
      </c>
      <c r="L44" s="77">
        <v>162098</v>
      </c>
      <c r="M44" s="77">
        <v>888456</v>
      </c>
      <c r="N44" s="77">
        <v>437.35199999999998</v>
      </c>
      <c r="O44" s="77">
        <v>20.399999999999999</v>
      </c>
      <c r="P44" s="77">
        <v>2.9630000000000001</v>
      </c>
      <c r="Q44" s="77">
        <v>1.726</v>
      </c>
      <c r="R44" s="77">
        <v>1413.89</v>
      </c>
    </row>
    <row r="45" spans="1:18">
      <c r="A45" s="77" t="s">
        <v>149</v>
      </c>
      <c r="B45" s="77" t="s">
        <v>194</v>
      </c>
      <c r="C45" s="98">
        <v>44480</v>
      </c>
      <c r="D45" s="77">
        <v>14833</v>
      </c>
      <c r="E45" s="77">
        <v>206</v>
      </c>
      <c r="F45" s="77">
        <v>2622.0529999999999</v>
      </c>
      <c r="G45" s="77">
        <v>36.414999999999999</v>
      </c>
      <c r="J45" s="77">
        <v>372046</v>
      </c>
      <c r="K45" s="77">
        <v>253726</v>
      </c>
      <c r="L45" s="77">
        <v>118320</v>
      </c>
      <c r="M45" s="77">
        <v>5657017</v>
      </c>
      <c r="N45" s="77">
        <v>15.404999999999999</v>
      </c>
      <c r="O45" s="77">
        <v>19</v>
      </c>
      <c r="P45" s="77">
        <v>3.4020000000000001</v>
      </c>
      <c r="Q45" s="77">
        <v>2.0630000000000002</v>
      </c>
      <c r="R45" s="77">
        <v>4881.4059999999999</v>
      </c>
    </row>
    <row r="46" spans="1:18">
      <c r="A46" s="77" t="s">
        <v>160</v>
      </c>
      <c r="B46" s="77" t="s">
        <v>195</v>
      </c>
      <c r="C46" s="98">
        <v>44474</v>
      </c>
      <c r="J46" s="77">
        <v>22536</v>
      </c>
      <c r="K46" s="77">
        <v>11404</v>
      </c>
      <c r="L46" s="77">
        <v>11132</v>
      </c>
      <c r="M46" s="77">
        <v>17572</v>
      </c>
    </row>
    <row r="47" spans="1:18">
      <c r="A47" s="77" t="s">
        <v>153</v>
      </c>
      <c r="B47" s="77" t="s">
        <v>196</v>
      </c>
      <c r="C47" s="98">
        <v>44480</v>
      </c>
      <c r="D47" s="77">
        <v>546595</v>
      </c>
      <c r="E47" s="77">
        <v>6698</v>
      </c>
      <c r="F47" s="77">
        <v>106361.03599999999</v>
      </c>
      <c r="G47" s="77">
        <v>1303.3530000000001</v>
      </c>
      <c r="H47" s="77">
        <v>1927328</v>
      </c>
      <c r="I47" s="77">
        <v>0.28100000000000003</v>
      </c>
      <c r="J47" s="77">
        <v>5760293</v>
      </c>
      <c r="K47" s="77">
        <v>3470013</v>
      </c>
      <c r="L47" s="77">
        <v>2290280</v>
      </c>
      <c r="M47" s="77">
        <v>5139053</v>
      </c>
      <c r="N47" s="77">
        <v>96.078999999999994</v>
      </c>
      <c r="O47" s="77">
        <v>33.6</v>
      </c>
      <c r="P47" s="77">
        <v>9.468</v>
      </c>
      <c r="Q47" s="77">
        <v>5.694</v>
      </c>
      <c r="R47" s="77">
        <v>15524.995000000001</v>
      </c>
    </row>
    <row r="48" spans="1:18">
      <c r="A48" s="77" t="s">
        <v>149</v>
      </c>
      <c r="B48" s="77" t="s">
        <v>197</v>
      </c>
      <c r="C48" s="98">
        <v>44480</v>
      </c>
      <c r="D48" s="77">
        <v>60829</v>
      </c>
      <c r="E48" s="77">
        <v>669</v>
      </c>
      <c r="F48" s="77">
        <v>2248.46</v>
      </c>
      <c r="G48" s="77">
        <v>24.728999999999999</v>
      </c>
      <c r="H48" s="77">
        <v>1029903</v>
      </c>
      <c r="I48" s="77">
        <v>2.1000000000000001E-2</v>
      </c>
      <c r="J48" s="77">
        <v>2490820</v>
      </c>
      <c r="K48" s="77">
        <v>1921801</v>
      </c>
      <c r="L48" s="77">
        <v>569019</v>
      </c>
      <c r="M48" s="77">
        <v>27053629</v>
      </c>
      <c r="N48" s="77">
        <v>76.399000000000001</v>
      </c>
      <c r="O48" s="77">
        <v>18.7</v>
      </c>
      <c r="P48" s="77">
        <v>2.9329999999999998</v>
      </c>
      <c r="Q48" s="77">
        <v>1.5820000000000001</v>
      </c>
      <c r="R48" s="77">
        <v>3601.0059999999999</v>
      </c>
    </row>
    <row r="49" spans="1:18">
      <c r="A49" s="77" t="s">
        <v>147</v>
      </c>
      <c r="B49" s="77" t="s">
        <v>198</v>
      </c>
      <c r="C49" s="98">
        <v>44480</v>
      </c>
      <c r="D49" s="77">
        <v>418028</v>
      </c>
      <c r="E49" s="77">
        <v>8778</v>
      </c>
      <c r="F49" s="77">
        <v>102416.249</v>
      </c>
      <c r="G49" s="77">
        <v>2150.5970000000002</v>
      </c>
      <c r="H49" s="77">
        <v>2913176</v>
      </c>
      <c r="I49" s="77">
        <v>0.14299999999999999</v>
      </c>
      <c r="J49" s="77">
        <v>3486793</v>
      </c>
      <c r="K49" s="77">
        <v>1852899</v>
      </c>
      <c r="L49" s="77">
        <v>1633894</v>
      </c>
      <c r="M49" s="77">
        <v>4081657</v>
      </c>
      <c r="N49" s="77">
        <v>73.725999999999999</v>
      </c>
      <c r="O49" s="77">
        <v>44</v>
      </c>
      <c r="P49" s="77">
        <v>19.724</v>
      </c>
      <c r="Q49" s="77">
        <v>13.053000000000001</v>
      </c>
      <c r="R49" s="77">
        <v>22669.796999999999</v>
      </c>
    </row>
    <row r="50" spans="1:18">
      <c r="A50" s="77" t="s">
        <v>153</v>
      </c>
      <c r="B50" s="77" t="s">
        <v>199</v>
      </c>
      <c r="C50" s="98">
        <v>44480</v>
      </c>
      <c r="D50" s="77">
        <v>921328</v>
      </c>
      <c r="E50" s="77">
        <v>7891</v>
      </c>
      <c r="F50" s="77">
        <v>81407.392000000007</v>
      </c>
      <c r="G50" s="77">
        <v>697.23900000000003</v>
      </c>
      <c r="J50" s="77">
        <v>22875849</v>
      </c>
      <c r="K50" s="77">
        <v>9623676</v>
      </c>
      <c r="L50" s="77">
        <v>6184534</v>
      </c>
      <c r="M50" s="77">
        <v>11317498</v>
      </c>
      <c r="N50" s="77">
        <v>110.408</v>
      </c>
      <c r="O50" s="77">
        <v>43.1</v>
      </c>
      <c r="P50" s="77">
        <v>14.738</v>
      </c>
      <c r="Q50" s="77">
        <v>9.7189999999999994</v>
      </c>
    </row>
    <row r="51" spans="1:18">
      <c r="A51" s="77" t="s">
        <v>153</v>
      </c>
      <c r="B51" s="77" t="s">
        <v>200</v>
      </c>
      <c r="C51" s="98">
        <v>44479</v>
      </c>
      <c r="J51" s="77">
        <v>188871</v>
      </c>
      <c r="K51" s="77">
        <v>98611</v>
      </c>
      <c r="L51" s="77">
        <v>90260</v>
      </c>
      <c r="M51" s="77">
        <v>164796</v>
      </c>
      <c r="N51" s="77">
        <v>362.64400000000001</v>
      </c>
      <c r="O51" s="77">
        <v>41.7</v>
      </c>
      <c r="P51" s="77">
        <v>16.367000000000001</v>
      </c>
      <c r="Q51" s="77">
        <v>10.068</v>
      </c>
    </row>
    <row r="52" spans="1:18">
      <c r="A52" s="77" t="s">
        <v>147</v>
      </c>
      <c r="B52" s="77" t="s">
        <v>201</v>
      </c>
      <c r="C52" s="98">
        <v>44480</v>
      </c>
      <c r="D52" s="77">
        <v>121364</v>
      </c>
      <c r="E52" s="77">
        <v>560</v>
      </c>
      <c r="F52" s="77">
        <v>135450.13699999999</v>
      </c>
      <c r="G52" s="77">
        <v>624.99699999999996</v>
      </c>
      <c r="H52" s="77">
        <v>13835984</v>
      </c>
      <c r="I52" s="77">
        <v>2E-3</v>
      </c>
      <c r="J52" s="77">
        <v>1186491</v>
      </c>
      <c r="K52" s="77">
        <v>599052</v>
      </c>
      <c r="L52" s="77">
        <v>563053</v>
      </c>
      <c r="M52" s="77">
        <v>896005</v>
      </c>
      <c r="N52" s="77">
        <v>127.657</v>
      </c>
      <c r="O52" s="77">
        <v>37.299999999999997</v>
      </c>
      <c r="P52" s="77">
        <v>13.416</v>
      </c>
      <c r="Q52" s="77">
        <v>8.5630000000000006</v>
      </c>
      <c r="R52" s="77">
        <v>32415.132000000001</v>
      </c>
    </row>
    <row r="53" spans="1:18">
      <c r="A53" s="77" t="s">
        <v>147</v>
      </c>
      <c r="B53" s="77" t="s">
        <v>202</v>
      </c>
      <c r="C53" s="98">
        <v>44480</v>
      </c>
      <c r="D53" s="77">
        <v>1700078</v>
      </c>
      <c r="E53" s="77">
        <v>30504</v>
      </c>
      <c r="F53" s="77">
        <v>158522.038</v>
      </c>
      <c r="G53" s="77">
        <v>2844.3139999999999</v>
      </c>
      <c r="I53" s="77">
        <v>1.4999999999999999E-2</v>
      </c>
      <c r="J53" s="77">
        <v>11874310</v>
      </c>
      <c r="K53" s="77">
        <v>6111351</v>
      </c>
      <c r="L53" s="77">
        <v>6005762</v>
      </c>
      <c r="M53" s="77">
        <v>10724553</v>
      </c>
      <c r="N53" s="77">
        <v>137.17599999999999</v>
      </c>
      <c r="O53" s="77">
        <v>43.3</v>
      </c>
      <c r="P53" s="77">
        <v>19.027000000000001</v>
      </c>
      <c r="Q53" s="77">
        <v>11.58</v>
      </c>
      <c r="R53" s="77">
        <v>32605.905999999999</v>
      </c>
    </row>
    <row r="54" spans="1:18">
      <c r="A54" s="77" t="s">
        <v>149</v>
      </c>
      <c r="B54" s="77" t="s">
        <v>203</v>
      </c>
      <c r="C54" s="98">
        <v>44480</v>
      </c>
      <c r="D54" s="77">
        <v>57247</v>
      </c>
      <c r="E54" s="77">
        <v>1087</v>
      </c>
      <c r="F54" s="77">
        <v>619.70399999999995</v>
      </c>
      <c r="G54" s="77">
        <v>11.766999999999999</v>
      </c>
      <c r="J54" s="77">
        <v>140254</v>
      </c>
      <c r="K54" s="77">
        <v>102610</v>
      </c>
      <c r="L54" s="77">
        <v>37644</v>
      </c>
      <c r="M54" s="77">
        <v>92377986</v>
      </c>
      <c r="N54" s="77">
        <v>35.878999999999998</v>
      </c>
      <c r="O54" s="77">
        <v>17</v>
      </c>
      <c r="P54" s="77">
        <v>3.02</v>
      </c>
      <c r="Q54" s="77">
        <v>1.7450000000000001</v>
      </c>
      <c r="R54" s="77">
        <v>808.13300000000004</v>
      </c>
    </row>
    <row r="55" spans="1:18">
      <c r="A55" s="77" t="s">
        <v>147</v>
      </c>
      <c r="B55" s="77" t="s">
        <v>204</v>
      </c>
      <c r="C55" s="98">
        <v>44480</v>
      </c>
      <c r="D55" s="77">
        <v>366388</v>
      </c>
      <c r="E55" s="77">
        <v>2673</v>
      </c>
      <c r="F55" s="77">
        <v>63025.798000000003</v>
      </c>
      <c r="G55" s="77">
        <v>459.80799999999999</v>
      </c>
      <c r="H55" s="77">
        <v>41501675</v>
      </c>
      <c r="I55" s="77">
        <v>1.4999999999999999E-2</v>
      </c>
      <c r="J55" s="77">
        <v>8804552</v>
      </c>
      <c r="K55" s="77">
        <v>4462629</v>
      </c>
      <c r="L55" s="77">
        <v>4388221</v>
      </c>
      <c r="M55" s="77">
        <v>5813302</v>
      </c>
      <c r="N55" s="77">
        <v>136.52000000000001</v>
      </c>
      <c r="O55" s="77">
        <v>42.3</v>
      </c>
      <c r="P55" s="77">
        <v>19.677</v>
      </c>
      <c r="Q55" s="77">
        <v>12.324999999999999</v>
      </c>
      <c r="R55" s="77">
        <v>46682.514999999999</v>
      </c>
    </row>
    <row r="56" spans="1:18">
      <c r="A56" s="77" t="s">
        <v>149</v>
      </c>
      <c r="B56" s="77" t="s">
        <v>205</v>
      </c>
      <c r="C56" s="98">
        <v>44480</v>
      </c>
      <c r="D56" s="77">
        <v>13229</v>
      </c>
      <c r="E56" s="77">
        <v>177</v>
      </c>
      <c r="F56" s="77">
        <v>13200</v>
      </c>
      <c r="G56" s="77">
        <v>176.61199999999999</v>
      </c>
      <c r="J56" s="77">
        <v>92097</v>
      </c>
      <c r="K56" s="77">
        <v>66010</v>
      </c>
      <c r="L56" s="77">
        <v>26087</v>
      </c>
      <c r="M56" s="77">
        <v>1002197</v>
      </c>
      <c r="N56" s="77">
        <v>41.284999999999997</v>
      </c>
      <c r="O56" s="77">
        <v>25.4</v>
      </c>
      <c r="P56" s="77">
        <v>4.2130000000000001</v>
      </c>
      <c r="Q56" s="77">
        <v>2.38</v>
      </c>
      <c r="R56" s="77">
        <v>2705.4059999999999</v>
      </c>
    </row>
    <row r="57" spans="1:18">
      <c r="A57" s="77" t="s">
        <v>153</v>
      </c>
      <c r="B57" s="77" t="s">
        <v>206</v>
      </c>
      <c r="C57" s="98">
        <v>44480</v>
      </c>
      <c r="D57" s="77">
        <v>4020</v>
      </c>
      <c r="E57" s="77">
        <v>26</v>
      </c>
      <c r="F57" s="77">
        <v>55700.271999999997</v>
      </c>
      <c r="G57" s="77">
        <v>360.25099999999998</v>
      </c>
      <c r="J57" s="77">
        <v>48091</v>
      </c>
      <c r="K57" s="77">
        <v>26294</v>
      </c>
      <c r="L57" s="77">
        <v>21797</v>
      </c>
      <c r="M57" s="77">
        <v>72172</v>
      </c>
      <c r="N57" s="77">
        <v>98.566999999999993</v>
      </c>
      <c r="R57" s="77">
        <v>9673.3670000000002</v>
      </c>
    </row>
    <row r="58" spans="1:18">
      <c r="A58" s="77" t="s">
        <v>153</v>
      </c>
      <c r="B58" s="77" t="s">
        <v>207</v>
      </c>
      <c r="C58" s="98">
        <v>44480</v>
      </c>
      <c r="D58" s="77">
        <v>366191</v>
      </c>
      <c r="E58" s="77">
        <v>4067</v>
      </c>
      <c r="F58" s="77">
        <v>33430.760999999999</v>
      </c>
      <c r="G58" s="77">
        <v>371.29</v>
      </c>
      <c r="J58" s="77">
        <v>12125221</v>
      </c>
      <c r="K58" s="77">
        <v>6134235</v>
      </c>
      <c r="L58" s="77">
        <v>4973191</v>
      </c>
      <c r="M58" s="77">
        <v>10953714</v>
      </c>
      <c r="N58" s="77">
        <v>222.87299999999999</v>
      </c>
      <c r="O58" s="77">
        <v>27.6</v>
      </c>
      <c r="P58" s="77">
        <v>6.9809999999999999</v>
      </c>
      <c r="Q58" s="77">
        <v>4.4189999999999996</v>
      </c>
      <c r="R58" s="77">
        <v>14600.861000000001</v>
      </c>
    </row>
    <row r="59" spans="1:18">
      <c r="A59" s="77" t="s">
        <v>156</v>
      </c>
      <c r="B59" s="77" t="s">
        <v>208</v>
      </c>
      <c r="C59" s="98">
        <v>44480</v>
      </c>
      <c r="D59" s="77">
        <v>512044</v>
      </c>
      <c r="E59" s="77">
        <v>32848</v>
      </c>
      <c r="F59" s="77">
        <v>28624.241999999998</v>
      </c>
      <c r="G59" s="77">
        <v>1836.2660000000001</v>
      </c>
      <c r="H59" s="77">
        <v>1761061</v>
      </c>
      <c r="I59" s="77">
        <v>0.105</v>
      </c>
      <c r="J59" s="77">
        <v>21155212</v>
      </c>
      <c r="K59" s="77">
        <v>11563516</v>
      </c>
      <c r="L59" s="77">
        <v>9978130</v>
      </c>
      <c r="M59" s="77">
        <v>17888474</v>
      </c>
      <c r="N59" s="77">
        <v>66.938999999999993</v>
      </c>
      <c r="O59" s="77">
        <v>28.1</v>
      </c>
      <c r="P59" s="77">
        <v>7.1040000000000001</v>
      </c>
      <c r="Q59" s="77">
        <v>4.4580000000000002</v>
      </c>
      <c r="R59" s="77">
        <v>10581.936</v>
      </c>
    </row>
    <row r="60" spans="1:18">
      <c r="A60" s="77" t="s">
        <v>149</v>
      </c>
      <c r="B60" s="77" t="s">
        <v>209</v>
      </c>
      <c r="C60" s="98">
        <v>44480</v>
      </c>
      <c r="D60" s="77">
        <v>313259</v>
      </c>
      <c r="E60" s="77">
        <v>17726</v>
      </c>
      <c r="F60" s="77">
        <v>3004.6419999999998</v>
      </c>
      <c r="G60" s="77">
        <v>170.02</v>
      </c>
      <c r="J60" s="77">
        <v>20154366</v>
      </c>
      <c r="K60" s="77">
        <v>13552189</v>
      </c>
      <c r="L60" s="77">
        <v>6602177</v>
      </c>
      <c r="M60" s="77">
        <v>104258327</v>
      </c>
      <c r="N60" s="77">
        <v>97.998999999999995</v>
      </c>
      <c r="O60" s="77">
        <v>25.3</v>
      </c>
      <c r="P60" s="77">
        <v>5.1589999999999998</v>
      </c>
      <c r="Q60" s="77">
        <v>2.891</v>
      </c>
      <c r="R60" s="77">
        <v>10550.206</v>
      </c>
    </row>
    <row r="61" spans="1:18">
      <c r="A61" s="77" t="s">
        <v>153</v>
      </c>
      <c r="B61" s="77" t="s">
        <v>210</v>
      </c>
      <c r="C61" s="98">
        <v>44480</v>
      </c>
      <c r="D61" s="77">
        <v>107664</v>
      </c>
      <c r="E61" s="77">
        <v>3392</v>
      </c>
      <c r="F61" s="77">
        <v>16516.683000000001</v>
      </c>
      <c r="G61" s="77">
        <v>520.36500000000001</v>
      </c>
      <c r="J61" s="77">
        <v>7994792</v>
      </c>
      <c r="K61" s="77">
        <v>4199362</v>
      </c>
      <c r="L61" s="77">
        <v>3571027</v>
      </c>
      <c r="M61" s="77">
        <v>6518500</v>
      </c>
      <c r="N61" s="77">
        <v>307.81099999999998</v>
      </c>
      <c r="O61" s="77">
        <v>27.6</v>
      </c>
      <c r="P61" s="77">
        <v>8.2729999999999997</v>
      </c>
      <c r="Q61" s="77">
        <v>5.4169999999999998</v>
      </c>
      <c r="R61" s="77">
        <v>7292.4579999999996</v>
      </c>
    </row>
    <row r="62" spans="1:18">
      <c r="A62" s="77" t="s">
        <v>149</v>
      </c>
      <c r="B62" s="77" t="s">
        <v>211</v>
      </c>
      <c r="C62" s="98">
        <v>44480</v>
      </c>
      <c r="D62" s="77">
        <v>12786</v>
      </c>
      <c r="E62" s="77">
        <v>155</v>
      </c>
      <c r="F62" s="77">
        <v>8818.5939999999991</v>
      </c>
      <c r="G62" s="77">
        <v>106.905</v>
      </c>
      <c r="H62" s="77">
        <v>230491</v>
      </c>
      <c r="I62" s="77">
        <v>4.9000000000000002E-2</v>
      </c>
      <c r="J62" s="77">
        <v>410064</v>
      </c>
      <c r="K62" s="77">
        <v>234307</v>
      </c>
      <c r="L62" s="77">
        <v>175757</v>
      </c>
      <c r="M62" s="77">
        <v>1449891</v>
      </c>
      <c r="N62" s="77">
        <v>45.194000000000003</v>
      </c>
      <c r="O62" s="77">
        <v>22.4</v>
      </c>
      <c r="P62" s="77">
        <v>2.8460000000000001</v>
      </c>
      <c r="Q62" s="77">
        <v>1.752</v>
      </c>
      <c r="R62" s="77">
        <v>22604.873</v>
      </c>
    </row>
    <row r="63" spans="1:18">
      <c r="A63" s="77" t="s">
        <v>149</v>
      </c>
      <c r="B63" s="77" t="s">
        <v>212</v>
      </c>
      <c r="C63" s="98">
        <v>44480</v>
      </c>
      <c r="D63" s="77">
        <v>6755</v>
      </c>
      <c r="E63" s="77">
        <v>43</v>
      </c>
      <c r="F63" s="77">
        <v>1875.627</v>
      </c>
      <c r="G63" s="77">
        <v>11.94</v>
      </c>
      <c r="M63" s="77">
        <v>3601462</v>
      </c>
      <c r="N63" s="77">
        <v>44.304000000000002</v>
      </c>
      <c r="O63" s="77">
        <v>19.3</v>
      </c>
      <c r="P63" s="77">
        <v>3.6070000000000002</v>
      </c>
      <c r="Q63" s="77">
        <v>2.1709999999999998</v>
      </c>
      <c r="R63" s="77">
        <v>1510.4590000000001</v>
      </c>
    </row>
    <row r="64" spans="1:18">
      <c r="A64" s="77" t="s">
        <v>147</v>
      </c>
      <c r="B64" s="77" t="s">
        <v>213</v>
      </c>
      <c r="C64" s="98">
        <v>44480</v>
      </c>
      <c r="D64" s="77">
        <v>165345</v>
      </c>
      <c r="E64" s="77">
        <v>1400</v>
      </c>
      <c r="F64" s="77">
        <v>124770.976</v>
      </c>
      <c r="G64" s="77">
        <v>1056.454</v>
      </c>
      <c r="H64" s="77">
        <v>1997046</v>
      </c>
      <c r="I64" s="77">
        <v>0.14299999999999999</v>
      </c>
      <c r="J64" s="77">
        <v>1390624</v>
      </c>
      <c r="K64" s="77">
        <v>766338</v>
      </c>
      <c r="L64" s="77">
        <v>721028</v>
      </c>
      <c r="M64" s="77">
        <v>1325188</v>
      </c>
      <c r="N64" s="77">
        <v>31.033000000000001</v>
      </c>
      <c r="O64" s="77">
        <v>42.7</v>
      </c>
      <c r="P64" s="77">
        <v>19.452000000000002</v>
      </c>
      <c r="Q64" s="77">
        <v>13.491</v>
      </c>
      <c r="R64" s="77">
        <v>29481.252</v>
      </c>
    </row>
    <row r="65" spans="1:18">
      <c r="A65" s="77" t="s">
        <v>149</v>
      </c>
      <c r="B65" s="77" t="s">
        <v>214</v>
      </c>
      <c r="C65" s="98">
        <v>44480</v>
      </c>
      <c r="D65" s="77">
        <v>46284</v>
      </c>
      <c r="E65" s="77">
        <v>1229</v>
      </c>
      <c r="F65" s="77">
        <v>39479.038</v>
      </c>
      <c r="G65" s="77">
        <v>1048.3050000000001</v>
      </c>
      <c r="J65" s="77">
        <v>258552</v>
      </c>
      <c r="K65" s="77">
        <v>227080</v>
      </c>
      <c r="L65" s="77">
        <v>219736</v>
      </c>
      <c r="M65" s="77">
        <v>1172369</v>
      </c>
      <c r="N65" s="77">
        <v>79.492000000000004</v>
      </c>
      <c r="O65" s="77">
        <v>21.5</v>
      </c>
      <c r="P65" s="77">
        <v>3.1629999999999998</v>
      </c>
      <c r="Q65" s="77">
        <v>1.845</v>
      </c>
      <c r="R65" s="77">
        <v>7738.9750000000004</v>
      </c>
    </row>
    <row r="66" spans="1:18">
      <c r="A66" s="77" t="s">
        <v>149</v>
      </c>
      <c r="B66" s="77" t="s">
        <v>215</v>
      </c>
      <c r="C66" s="98">
        <v>44480</v>
      </c>
      <c r="D66" s="77">
        <v>355001</v>
      </c>
      <c r="E66" s="77">
        <v>6026</v>
      </c>
      <c r="F66" s="77">
        <v>3011.6419999999998</v>
      </c>
      <c r="G66" s="77">
        <v>51.121000000000002</v>
      </c>
      <c r="H66" s="77">
        <v>3557710</v>
      </c>
      <c r="I66" s="77">
        <v>0.107</v>
      </c>
      <c r="J66" s="77">
        <v>3873996</v>
      </c>
      <c r="K66" s="77">
        <v>2956130</v>
      </c>
      <c r="L66" s="77">
        <v>917866</v>
      </c>
      <c r="M66" s="77">
        <v>117876226</v>
      </c>
      <c r="N66" s="77">
        <v>104.95699999999999</v>
      </c>
      <c r="O66" s="77">
        <v>19.8</v>
      </c>
      <c r="P66" s="77">
        <v>3.5259999999999998</v>
      </c>
      <c r="Q66" s="77">
        <v>2.0630000000000002</v>
      </c>
      <c r="R66" s="77">
        <v>1729.9269999999999</v>
      </c>
    </row>
    <row r="67" spans="1:18">
      <c r="A67" s="77" t="s">
        <v>147</v>
      </c>
      <c r="B67" s="77" t="s">
        <v>216</v>
      </c>
      <c r="C67" s="98">
        <v>44480</v>
      </c>
      <c r="J67" s="77">
        <v>75519</v>
      </c>
      <c r="K67" s="77">
        <v>38719</v>
      </c>
      <c r="L67" s="77">
        <v>36800</v>
      </c>
      <c r="M67" s="77">
        <v>49053</v>
      </c>
      <c r="N67" s="77">
        <v>35.308</v>
      </c>
    </row>
    <row r="68" spans="1:18">
      <c r="A68" s="77" t="s">
        <v>160</v>
      </c>
      <c r="B68" s="77" t="s">
        <v>217</v>
      </c>
      <c r="C68" s="98">
        <v>44480</v>
      </c>
      <c r="D68" s="77">
        <v>51535</v>
      </c>
      <c r="E68" s="77">
        <v>653</v>
      </c>
      <c r="F68" s="77">
        <v>57077.258999999998</v>
      </c>
      <c r="G68" s="77">
        <v>723.226</v>
      </c>
      <c r="J68" s="77">
        <v>1055883</v>
      </c>
      <c r="K68" s="77">
        <v>593442</v>
      </c>
      <c r="L68" s="77">
        <v>462441</v>
      </c>
      <c r="M68" s="77">
        <v>902899</v>
      </c>
      <c r="N68" s="77">
        <v>49.561999999999998</v>
      </c>
      <c r="O68" s="77">
        <v>28.6</v>
      </c>
      <c r="P68" s="77">
        <v>6.2240000000000002</v>
      </c>
      <c r="Q68" s="77">
        <v>3.2839999999999998</v>
      </c>
      <c r="R68" s="77">
        <v>8702.9750000000004</v>
      </c>
    </row>
    <row r="69" spans="1:18">
      <c r="A69" s="77" t="s">
        <v>147</v>
      </c>
      <c r="B69" s="77" t="s">
        <v>218</v>
      </c>
      <c r="C69" s="98">
        <v>44480</v>
      </c>
      <c r="D69" s="77">
        <v>147297</v>
      </c>
      <c r="E69" s="77">
        <v>1100</v>
      </c>
      <c r="F69" s="77">
        <v>26547.84</v>
      </c>
      <c r="G69" s="77">
        <v>198.25700000000001</v>
      </c>
      <c r="H69" s="77">
        <v>7224917</v>
      </c>
      <c r="I69" s="77">
        <v>4.9000000000000002E-2</v>
      </c>
      <c r="J69" s="77">
        <v>7786863</v>
      </c>
      <c r="K69" s="77">
        <v>4163232</v>
      </c>
      <c r="L69" s="77">
        <v>3623631</v>
      </c>
      <c r="M69" s="77">
        <v>5548361</v>
      </c>
      <c r="N69" s="77">
        <v>18.135999999999999</v>
      </c>
      <c r="O69" s="77">
        <v>42.8</v>
      </c>
      <c r="P69" s="77">
        <v>21.228000000000002</v>
      </c>
      <c r="Q69" s="77">
        <v>13.263999999999999</v>
      </c>
      <c r="R69" s="77">
        <v>40585.720999999998</v>
      </c>
    </row>
    <row r="70" spans="1:18">
      <c r="A70" s="77" t="s">
        <v>147</v>
      </c>
      <c r="B70" s="77" t="s">
        <v>219</v>
      </c>
      <c r="C70" s="98">
        <v>44480</v>
      </c>
      <c r="D70" s="77">
        <v>7157206</v>
      </c>
      <c r="E70" s="77">
        <v>117966</v>
      </c>
      <c r="F70" s="77">
        <v>105931.848</v>
      </c>
      <c r="G70" s="77">
        <v>1745.9829999999999</v>
      </c>
      <c r="I70" s="77">
        <v>0.01</v>
      </c>
      <c r="J70" s="77">
        <v>96292913</v>
      </c>
      <c r="K70" s="77">
        <v>50642821</v>
      </c>
      <c r="L70" s="77">
        <v>45085758</v>
      </c>
      <c r="M70" s="77">
        <v>67564251</v>
      </c>
      <c r="N70" s="77">
        <v>122.578</v>
      </c>
      <c r="O70" s="77">
        <v>42</v>
      </c>
      <c r="P70" s="77">
        <v>19.718</v>
      </c>
      <c r="Q70" s="77">
        <v>13.079000000000001</v>
      </c>
      <c r="R70" s="77">
        <v>38605.671000000002</v>
      </c>
    </row>
    <row r="71" spans="1:18">
      <c r="A71" s="77" t="s">
        <v>160</v>
      </c>
      <c r="B71" s="77" t="s">
        <v>220</v>
      </c>
      <c r="C71" s="98">
        <v>44474</v>
      </c>
      <c r="J71" s="77">
        <v>294961</v>
      </c>
      <c r="K71" s="77">
        <v>153079</v>
      </c>
      <c r="L71" s="77">
        <v>141882</v>
      </c>
      <c r="M71" s="77">
        <v>282534</v>
      </c>
      <c r="N71" s="77">
        <v>77.323999999999998</v>
      </c>
      <c r="O71" s="77">
        <v>32.700000000000003</v>
      </c>
      <c r="P71" s="77">
        <v>7.7750000000000004</v>
      </c>
      <c r="Q71" s="77">
        <v>4.593</v>
      </c>
    </row>
    <row r="72" spans="1:18">
      <c r="A72" s="77" t="s">
        <v>149</v>
      </c>
      <c r="B72" s="77" t="s">
        <v>221</v>
      </c>
      <c r="C72" s="98">
        <v>44480</v>
      </c>
      <c r="D72" s="77">
        <v>32576</v>
      </c>
      <c r="E72" s="77">
        <v>205</v>
      </c>
      <c r="F72" s="77">
        <v>14295.061</v>
      </c>
      <c r="G72" s="77">
        <v>89.957999999999998</v>
      </c>
      <c r="H72" s="77">
        <v>1188832</v>
      </c>
      <c r="I72" s="77">
        <v>1.2999999999999999E-2</v>
      </c>
      <c r="J72" s="77">
        <v>186365</v>
      </c>
      <c r="K72" s="77">
        <v>105903</v>
      </c>
      <c r="L72" s="77">
        <v>80462</v>
      </c>
      <c r="M72" s="77">
        <v>2278829</v>
      </c>
      <c r="N72" s="77">
        <v>7.859</v>
      </c>
      <c r="O72" s="77">
        <v>23.1</v>
      </c>
      <c r="P72" s="77">
        <v>4.45</v>
      </c>
      <c r="Q72" s="77">
        <v>2.976</v>
      </c>
      <c r="R72" s="77">
        <v>16562.413</v>
      </c>
    </row>
    <row r="73" spans="1:18">
      <c r="A73" s="77" t="s">
        <v>149</v>
      </c>
      <c r="B73" s="77" t="s">
        <v>222</v>
      </c>
      <c r="C73" s="98">
        <v>44480</v>
      </c>
      <c r="D73" s="77">
        <v>9941</v>
      </c>
      <c r="E73" s="77">
        <v>339</v>
      </c>
      <c r="F73" s="77">
        <v>3997.2869999999998</v>
      </c>
      <c r="G73" s="77">
        <v>136.31200000000001</v>
      </c>
      <c r="J73" s="77">
        <v>208379</v>
      </c>
      <c r="K73" s="77">
        <v>184817</v>
      </c>
      <c r="L73" s="77">
        <v>171987</v>
      </c>
      <c r="M73" s="77">
        <v>2486937</v>
      </c>
      <c r="N73" s="77">
        <v>207.566</v>
      </c>
      <c r="O73" s="77">
        <v>17.5</v>
      </c>
      <c r="P73" s="77">
        <v>2.339</v>
      </c>
      <c r="Q73" s="77">
        <v>1.417</v>
      </c>
      <c r="R73" s="77">
        <v>1561.7670000000001</v>
      </c>
    </row>
    <row r="74" spans="1:18">
      <c r="A74" s="77" t="s">
        <v>145</v>
      </c>
      <c r="B74" s="77" t="s">
        <v>223</v>
      </c>
      <c r="C74" s="98">
        <v>44480</v>
      </c>
      <c r="D74" s="77">
        <v>635583</v>
      </c>
      <c r="E74" s="77">
        <v>9269</v>
      </c>
      <c r="F74" s="77">
        <v>159703.32999999999</v>
      </c>
      <c r="G74" s="77">
        <v>2329.027</v>
      </c>
      <c r="H74" s="77">
        <v>8900000</v>
      </c>
      <c r="I74" s="77">
        <v>5.5E-2</v>
      </c>
      <c r="J74" s="77">
        <v>1882118</v>
      </c>
      <c r="K74" s="77">
        <v>1002488</v>
      </c>
      <c r="L74" s="77">
        <v>879630</v>
      </c>
      <c r="M74" s="77">
        <v>3979773</v>
      </c>
      <c r="N74" s="77">
        <v>65.031999999999996</v>
      </c>
      <c r="O74" s="77">
        <v>38.700000000000003</v>
      </c>
      <c r="P74" s="77">
        <v>14.864000000000001</v>
      </c>
      <c r="Q74" s="77">
        <v>10.244</v>
      </c>
      <c r="R74" s="77">
        <v>9745.0789999999997</v>
      </c>
    </row>
    <row r="75" spans="1:18">
      <c r="A75" s="77" t="s">
        <v>147</v>
      </c>
      <c r="B75" s="77" t="s">
        <v>224</v>
      </c>
      <c r="C75" s="98">
        <v>44480</v>
      </c>
      <c r="D75" s="77">
        <v>4323346</v>
      </c>
      <c r="E75" s="77">
        <v>94308</v>
      </c>
      <c r="F75" s="77">
        <v>51529.46</v>
      </c>
      <c r="G75" s="77">
        <v>1124.046</v>
      </c>
      <c r="H75" s="77">
        <v>75158696</v>
      </c>
      <c r="I75" s="77">
        <v>6.6000000000000003E-2</v>
      </c>
      <c r="J75" s="77">
        <v>109141510</v>
      </c>
      <c r="K75" s="77">
        <v>57022688</v>
      </c>
      <c r="L75" s="77">
        <v>54312772</v>
      </c>
      <c r="M75" s="77">
        <v>83900471</v>
      </c>
      <c r="N75" s="77">
        <v>237.01599999999999</v>
      </c>
      <c r="O75" s="77">
        <v>46.6</v>
      </c>
      <c r="P75" s="77">
        <v>21.452999999999999</v>
      </c>
      <c r="Q75" s="77">
        <v>15.957000000000001</v>
      </c>
      <c r="R75" s="77">
        <v>45229.245000000003</v>
      </c>
    </row>
    <row r="76" spans="1:18">
      <c r="A76" s="77" t="s">
        <v>149</v>
      </c>
      <c r="B76" s="77" t="s">
        <v>225</v>
      </c>
      <c r="C76" s="98">
        <v>44480</v>
      </c>
      <c r="D76" s="77">
        <v>128368</v>
      </c>
      <c r="E76" s="77">
        <v>1158</v>
      </c>
      <c r="F76" s="77">
        <v>4045.364</v>
      </c>
      <c r="G76" s="77">
        <v>36.493000000000002</v>
      </c>
      <c r="J76" s="77">
        <v>2189552</v>
      </c>
      <c r="K76" s="77">
        <v>1369515</v>
      </c>
      <c r="L76" s="77">
        <v>820037</v>
      </c>
      <c r="M76" s="77">
        <v>31732128</v>
      </c>
      <c r="N76" s="77">
        <v>126.71899999999999</v>
      </c>
      <c r="O76" s="77">
        <v>21.1</v>
      </c>
      <c r="P76" s="77">
        <v>3.3849999999999998</v>
      </c>
      <c r="Q76" s="77">
        <v>1.948</v>
      </c>
      <c r="R76" s="77">
        <v>4227.63</v>
      </c>
    </row>
    <row r="77" spans="1:18">
      <c r="A77" s="77" t="s">
        <v>147</v>
      </c>
      <c r="B77" s="77" t="s">
        <v>226</v>
      </c>
      <c r="C77" s="98">
        <v>44480</v>
      </c>
      <c r="J77" s="77">
        <v>79927</v>
      </c>
      <c r="K77" s="77">
        <v>39955</v>
      </c>
      <c r="L77" s="77">
        <v>39698</v>
      </c>
      <c r="M77" s="77">
        <v>33691</v>
      </c>
      <c r="N77" s="77">
        <v>3457.1</v>
      </c>
    </row>
    <row r="78" spans="1:18">
      <c r="A78" s="77" t="s">
        <v>147</v>
      </c>
      <c r="B78" s="77" t="s">
        <v>227</v>
      </c>
      <c r="C78" s="98">
        <v>44480</v>
      </c>
      <c r="D78" s="77">
        <v>679157</v>
      </c>
      <c r="E78" s="77">
        <v>15177</v>
      </c>
      <c r="F78" s="77">
        <v>65487.760999999999</v>
      </c>
      <c r="G78" s="77">
        <v>1463.443</v>
      </c>
      <c r="H78" s="77">
        <v>21991126</v>
      </c>
      <c r="I78" s="77">
        <v>1.2E-2</v>
      </c>
      <c r="J78" s="77">
        <v>12315494</v>
      </c>
      <c r="K78" s="77">
        <v>6504849</v>
      </c>
      <c r="L78" s="77">
        <v>6255864</v>
      </c>
      <c r="M78" s="77">
        <v>10370747</v>
      </c>
      <c r="N78" s="77">
        <v>83.478999999999999</v>
      </c>
      <c r="O78" s="77">
        <v>45.3</v>
      </c>
      <c r="P78" s="77">
        <v>20.396000000000001</v>
      </c>
      <c r="Q78" s="77">
        <v>14.523999999999999</v>
      </c>
      <c r="R78" s="77">
        <v>24574.382000000001</v>
      </c>
    </row>
    <row r="79" spans="1:18">
      <c r="A79" s="77" t="s">
        <v>153</v>
      </c>
      <c r="B79" s="77" t="s">
        <v>228</v>
      </c>
      <c r="C79" s="98">
        <v>44480</v>
      </c>
      <c r="J79" s="77">
        <v>76359</v>
      </c>
      <c r="K79" s="77">
        <v>39951</v>
      </c>
      <c r="L79" s="77">
        <v>36408</v>
      </c>
      <c r="M79" s="77">
        <v>56868</v>
      </c>
      <c r="N79" s="77">
        <v>0.13700000000000001</v>
      </c>
    </row>
    <row r="80" spans="1:18">
      <c r="A80" s="77" t="s">
        <v>153</v>
      </c>
      <c r="B80" s="77" t="s">
        <v>229</v>
      </c>
      <c r="C80" s="98">
        <v>44480</v>
      </c>
      <c r="D80" s="77">
        <v>5653</v>
      </c>
      <c r="E80" s="77">
        <v>183</v>
      </c>
      <c r="F80" s="77">
        <v>50019.909</v>
      </c>
      <c r="G80" s="77">
        <v>1619.2539999999999</v>
      </c>
      <c r="J80" s="77">
        <v>62095</v>
      </c>
      <c r="K80" s="77">
        <v>35762</v>
      </c>
      <c r="L80" s="77">
        <v>26333</v>
      </c>
      <c r="M80" s="77">
        <v>113015</v>
      </c>
      <c r="N80" s="77">
        <v>317.13200000000001</v>
      </c>
      <c r="O80" s="77">
        <v>29.4</v>
      </c>
      <c r="P80" s="77">
        <v>7.3040000000000003</v>
      </c>
      <c r="Q80" s="77">
        <v>5.0209999999999999</v>
      </c>
      <c r="R80" s="77">
        <v>13593.877</v>
      </c>
    </row>
    <row r="81" spans="1:18">
      <c r="A81" s="77" t="s">
        <v>153</v>
      </c>
      <c r="B81" s="77" t="s">
        <v>230</v>
      </c>
      <c r="C81" s="98">
        <v>44480</v>
      </c>
      <c r="D81" s="77">
        <v>579774</v>
      </c>
      <c r="E81" s="77">
        <v>14066</v>
      </c>
      <c r="F81" s="77">
        <v>31768.668000000001</v>
      </c>
      <c r="G81" s="77">
        <v>770.745</v>
      </c>
      <c r="H81" s="77">
        <v>2228737</v>
      </c>
      <c r="I81" s="77">
        <v>0.16500000000000001</v>
      </c>
      <c r="J81" s="77">
        <v>7650606</v>
      </c>
      <c r="K81" s="77">
        <v>4844170</v>
      </c>
      <c r="L81" s="77">
        <v>2806436</v>
      </c>
      <c r="M81" s="77">
        <v>18249868</v>
      </c>
      <c r="N81" s="77">
        <v>157.834</v>
      </c>
      <c r="O81" s="77">
        <v>22.9</v>
      </c>
      <c r="P81" s="77">
        <v>4.694</v>
      </c>
      <c r="Q81" s="77">
        <v>3.016</v>
      </c>
      <c r="R81" s="77">
        <v>7423.808</v>
      </c>
    </row>
    <row r="82" spans="1:18">
      <c r="A82" s="77" t="s">
        <v>147</v>
      </c>
      <c r="B82" s="77" t="s">
        <v>231</v>
      </c>
      <c r="C82" s="98">
        <v>44474</v>
      </c>
      <c r="J82" s="77">
        <v>102157</v>
      </c>
      <c r="M82" s="77">
        <v>67052</v>
      </c>
    </row>
    <row r="83" spans="1:18">
      <c r="A83" s="77" t="s">
        <v>149</v>
      </c>
      <c r="B83" s="77" t="s">
        <v>232</v>
      </c>
      <c r="C83" s="98">
        <v>44480</v>
      </c>
      <c r="D83" s="77">
        <v>30523</v>
      </c>
      <c r="E83" s="77">
        <v>383</v>
      </c>
      <c r="F83" s="77">
        <v>2261.4259999999999</v>
      </c>
      <c r="G83" s="77">
        <v>28.376000000000001</v>
      </c>
      <c r="J83" s="77">
        <v>1857641</v>
      </c>
      <c r="K83" s="77">
        <v>1256095</v>
      </c>
      <c r="L83" s="77">
        <v>601546</v>
      </c>
      <c r="M83" s="77">
        <v>13497237</v>
      </c>
      <c r="N83" s="77">
        <v>51.755000000000003</v>
      </c>
      <c r="O83" s="77">
        <v>19</v>
      </c>
      <c r="P83" s="77">
        <v>3.1349999999999998</v>
      </c>
      <c r="Q83" s="77">
        <v>1.7330000000000001</v>
      </c>
      <c r="R83" s="77">
        <v>1998.9259999999999</v>
      </c>
    </row>
    <row r="84" spans="1:18">
      <c r="A84" s="77" t="s">
        <v>149</v>
      </c>
      <c r="B84" s="77" t="s">
        <v>233</v>
      </c>
      <c r="C84" s="98">
        <v>44480</v>
      </c>
      <c r="D84" s="77">
        <v>6119</v>
      </c>
      <c r="E84" s="77">
        <v>141</v>
      </c>
      <c r="F84" s="77">
        <v>3035.9859999999999</v>
      </c>
      <c r="G84" s="77">
        <v>69.957999999999998</v>
      </c>
      <c r="J84" s="77">
        <v>117768</v>
      </c>
      <c r="K84" s="77">
        <v>108632</v>
      </c>
      <c r="L84" s="77">
        <v>9139</v>
      </c>
      <c r="M84" s="77">
        <v>2015490</v>
      </c>
      <c r="N84" s="77">
        <v>66.191000000000003</v>
      </c>
      <c r="O84" s="77">
        <v>19.399999999999999</v>
      </c>
      <c r="P84" s="77">
        <v>3.0019999999999998</v>
      </c>
      <c r="Q84" s="77">
        <v>1.5649999999999999</v>
      </c>
      <c r="R84" s="77">
        <v>1548.675</v>
      </c>
    </row>
    <row r="85" spans="1:18">
      <c r="A85" s="77" t="s">
        <v>156</v>
      </c>
      <c r="B85" s="77" t="s">
        <v>234</v>
      </c>
      <c r="C85" s="98">
        <v>44480</v>
      </c>
      <c r="D85" s="77">
        <v>33748</v>
      </c>
      <c r="E85" s="77">
        <v>842</v>
      </c>
      <c r="F85" s="77">
        <v>42701.203999999998</v>
      </c>
      <c r="G85" s="77">
        <v>1065.3789999999999</v>
      </c>
      <c r="J85" s="77">
        <v>586207</v>
      </c>
      <c r="K85" s="77">
        <v>366190</v>
      </c>
      <c r="L85" s="77">
        <v>220017</v>
      </c>
      <c r="M85" s="77">
        <v>790329</v>
      </c>
      <c r="N85" s="77">
        <v>3.952</v>
      </c>
      <c r="O85" s="77">
        <v>26.3</v>
      </c>
      <c r="P85" s="77">
        <v>5.3049999999999997</v>
      </c>
      <c r="Q85" s="77">
        <v>2.8370000000000002</v>
      </c>
      <c r="R85" s="77">
        <v>7435.0469999999996</v>
      </c>
    </row>
    <row r="86" spans="1:18">
      <c r="A86" s="77" t="s">
        <v>153</v>
      </c>
      <c r="B86" s="77" t="s">
        <v>235</v>
      </c>
      <c r="C86" s="98">
        <v>44480</v>
      </c>
      <c r="D86" s="77">
        <v>22614</v>
      </c>
      <c r="E86" s="77">
        <v>643</v>
      </c>
      <c r="F86" s="77">
        <v>1959.3330000000001</v>
      </c>
      <c r="G86" s="77">
        <v>55.710999999999999</v>
      </c>
      <c r="J86" s="77">
        <v>88133</v>
      </c>
      <c r="K86" s="77">
        <v>62929</v>
      </c>
      <c r="L86" s="77">
        <v>25545</v>
      </c>
      <c r="M86" s="77">
        <v>11541683</v>
      </c>
      <c r="N86" s="77">
        <v>398.44799999999998</v>
      </c>
      <c r="O86" s="77">
        <v>24.3</v>
      </c>
      <c r="P86" s="77">
        <v>4.8</v>
      </c>
      <c r="Q86" s="77">
        <v>2.9540000000000002</v>
      </c>
      <c r="R86" s="77">
        <v>1653.173</v>
      </c>
    </row>
    <row r="87" spans="1:18">
      <c r="A87" s="77" t="s">
        <v>153</v>
      </c>
      <c r="B87" s="77" t="s">
        <v>236</v>
      </c>
      <c r="C87" s="98">
        <v>44480</v>
      </c>
      <c r="D87" s="77">
        <v>370262</v>
      </c>
      <c r="E87" s="77">
        <v>10009</v>
      </c>
      <c r="F87" s="77">
        <v>36794.417000000001</v>
      </c>
      <c r="G87" s="77">
        <v>994.63400000000001</v>
      </c>
      <c r="J87" s="77">
        <v>5817602</v>
      </c>
      <c r="K87" s="77">
        <v>3336972</v>
      </c>
      <c r="L87" s="77">
        <v>2481005</v>
      </c>
      <c r="M87" s="77">
        <v>10062994</v>
      </c>
      <c r="N87" s="77">
        <v>82.805000000000007</v>
      </c>
      <c r="O87" s="77">
        <v>24.9</v>
      </c>
      <c r="P87" s="77">
        <v>4.6520000000000001</v>
      </c>
      <c r="Q87" s="77">
        <v>2.883</v>
      </c>
      <c r="R87" s="77">
        <v>4541.7950000000001</v>
      </c>
    </row>
    <row r="88" spans="1:18">
      <c r="A88" s="77" t="s">
        <v>145</v>
      </c>
      <c r="B88" s="77" t="s">
        <v>237</v>
      </c>
      <c r="C88" s="98">
        <v>44480</v>
      </c>
      <c r="D88" s="77">
        <v>12268</v>
      </c>
      <c r="E88" s="77">
        <v>213</v>
      </c>
      <c r="F88" s="77">
        <v>1624.298</v>
      </c>
      <c r="G88" s="77">
        <v>28.201000000000001</v>
      </c>
      <c r="H88" s="77">
        <v>25906063</v>
      </c>
      <c r="I88" s="77">
        <v>0</v>
      </c>
      <c r="J88" s="77">
        <v>8835322</v>
      </c>
      <c r="K88" s="77">
        <v>4540819</v>
      </c>
      <c r="L88" s="77">
        <v>4294503</v>
      </c>
      <c r="M88" s="77">
        <v>7552800</v>
      </c>
      <c r="N88" s="77">
        <v>7039.7139999999999</v>
      </c>
      <c r="O88" s="77">
        <v>44.8</v>
      </c>
      <c r="P88" s="77">
        <v>16.303000000000001</v>
      </c>
      <c r="Q88" s="77">
        <v>10.157999999999999</v>
      </c>
      <c r="R88" s="77">
        <v>56054.92</v>
      </c>
    </row>
    <row r="89" spans="1:18">
      <c r="A89" s="77" t="s">
        <v>147</v>
      </c>
      <c r="B89" s="77" t="s">
        <v>238</v>
      </c>
      <c r="C89" s="98">
        <v>44480</v>
      </c>
      <c r="D89" s="77">
        <v>829456</v>
      </c>
      <c r="E89" s="77">
        <v>30303</v>
      </c>
      <c r="F89" s="77">
        <v>86095.293000000005</v>
      </c>
      <c r="G89" s="77">
        <v>3145.37</v>
      </c>
      <c r="H89" s="77">
        <v>6620866</v>
      </c>
      <c r="I89" s="77">
        <v>0.05</v>
      </c>
      <c r="J89" s="77">
        <v>12111107</v>
      </c>
      <c r="K89" s="77">
        <v>5911737</v>
      </c>
      <c r="L89" s="77">
        <v>5682396</v>
      </c>
      <c r="M89" s="77">
        <v>9634162</v>
      </c>
      <c r="N89" s="77">
        <v>108.04300000000001</v>
      </c>
      <c r="O89" s="77">
        <v>43.4</v>
      </c>
      <c r="P89" s="77">
        <v>18.577000000000002</v>
      </c>
      <c r="Q89" s="77">
        <v>11.976000000000001</v>
      </c>
      <c r="R89" s="77">
        <v>26777.561000000002</v>
      </c>
    </row>
    <row r="90" spans="1:18">
      <c r="A90" s="77" t="s">
        <v>147</v>
      </c>
      <c r="B90" s="77" t="s">
        <v>239</v>
      </c>
      <c r="C90" s="98">
        <v>44480</v>
      </c>
      <c r="D90" s="77">
        <v>12243</v>
      </c>
      <c r="E90" s="77">
        <v>33</v>
      </c>
      <c r="F90" s="77">
        <v>35656.453999999998</v>
      </c>
      <c r="G90" s="77">
        <v>96.108999999999995</v>
      </c>
      <c r="H90" s="77">
        <v>650933</v>
      </c>
      <c r="J90" s="77">
        <v>558483</v>
      </c>
      <c r="K90" s="77">
        <v>282036</v>
      </c>
      <c r="L90" s="77">
        <v>277210</v>
      </c>
      <c r="M90" s="77">
        <v>343360</v>
      </c>
      <c r="N90" s="77">
        <v>3.4039999999999999</v>
      </c>
      <c r="O90" s="77">
        <v>37.299999999999997</v>
      </c>
      <c r="P90" s="77">
        <v>14.430999999999999</v>
      </c>
      <c r="Q90" s="77">
        <v>9.2070000000000007</v>
      </c>
      <c r="R90" s="77">
        <v>46482.957999999999</v>
      </c>
    </row>
    <row r="91" spans="1:18">
      <c r="A91" s="77" t="s">
        <v>145</v>
      </c>
      <c r="B91" s="77" t="s">
        <v>240</v>
      </c>
      <c r="C91" s="98">
        <v>44480</v>
      </c>
      <c r="D91" s="77">
        <v>33985920</v>
      </c>
      <c r="E91" s="77">
        <v>450963</v>
      </c>
      <c r="F91" s="77">
        <v>24390.483</v>
      </c>
      <c r="G91" s="77">
        <v>323.64</v>
      </c>
      <c r="H91" s="77">
        <v>583631490</v>
      </c>
      <c r="I91" s="77">
        <v>1.4E-2</v>
      </c>
      <c r="J91" s="77">
        <v>954908095</v>
      </c>
      <c r="K91" s="77">
        <v>685337489</v>
      </c>
      <c r="L91" s="77">
        <v>269570606</v>
      </c>
      <c r="M91" s="77">
        <v>1393409033</v>
      </c>
      <c r="N91" s="77">
        <v>450.41899999999998</v>
      </c>
      <c r="O91" s="77">
        <v>28.2</v>
      </c>
      <c r="P91" s="77">
        <v>5.9889999999999999</v>
      </c>
      <c r="Q91" s="77">
        <v>3.4140000000000001</v>
      </c>
      <c r="R91" s="77">
        <v>6426.674</v>
      </c>
    </row>
    <row r="92" spans="1:18">
      <c r="A92" s="77" t="s">
        <v>145</v>
      </c>
      <c r="B92" s="77" t="s">
        <v>241</v>
      </c>
      <c r="C92" s="98">
        <v>44480</v>
      </c>
      <c r="D92" s="77">
        <v>4228552</v>
      </c>
      <c r="E92" s="77">
        <v>142716</v>
      </c>
      <c r="F92" s="77">
        <v>15300.784</v>
      </c>
      <c r="G92" s="77">
        <v>516.41</v>
      </c>
      <c r="J92" s="77">
        <v>157929575</v>
      </c>
      <c r="K92" s="77">
        <v>100322375</v>
      </c>
      <c r="L92" s="77">
        <v>57607200</v>
      </c>
      <c r="M92" s="77">
        <v>276361788</v>
      </c>
      <c r="N92" s="77">
        <v>145.72499999999999</v>
      </c>
      <c r="O92" s="77">
        <v>29.3</v>
      </c>
      <c r="P92" s="77">
        <v>5.319</v>
      </c>
      <c r="Q92" s="77">
        <v>3.0529999999999999</v>
      </c>
      <c r="R92" s="77">
        <v>11188.744000000001</v>
      </c>
    </row>
    <row r="93" spans="1:18">
      <c r="A93" s="77" t="s">
        <v>145</v>
      </c>
      <c r="B93" s="77" t="s">
        <v>242</v>
      </c>
      <c r="C93" s="98">
        <v>44480</v>
      </c>
      <c r="D93" s="77">
        <v>5716394</v>
      </c>
      <c r="E93" s="77">
        <v>122868</v>
      </c>
      <c r="F93" s="77">
        <v>67228.947</v>
      </c>
      <c r="G93" s="77">
        <v>1445.0170000000001</v>
      </c>
      <c r="H93" s="77">
        <v>33350660</v>
      </c>
      <c r="I93" s="77">
        <v>0.106</v>
      </c>
      <c r="J93" s="77">
        <v>57676540</v>
      </c>
      <c r="K93" s="77">
        <v>40961153</v>
      </c>
      <c r="L93" s="77">
        <v>16715387</v>
      </c>
      <c r="M93" s="77">
        <v>85028760</v>
      </c>
      <c r="N93" s="77">
        <v>49.831000000000003</v>
      </c>
      <c r="O93" s="77">
        <v>32.4</v>
      </c>
      <c r="P93" s="77">
        <v>5.44</v>
      </c>
      <c r="Q93" s="77">
        <v>3.1819999999999999</v>
      </c>
      <c r="R93" s="77">
        <v>19082.62</v>
      </c>
    </row>
    <row r="94" spans="1:18">
      <c r="A94" s="77" t="s">
        <v>145</v>
      </c>
      <c r="B94" s="77" t="s">
        <v>243</v>
      </c>
      <c r="C94" s="98">
        <v>44480</v>
      </c>
      <c r="D94" s="77">
        <v>2024705</v>
      </c>
      <c r="E94" s="77">
        <v>22591</v>
      </c>
      <c r="F94" s="77">
        <v>49167.968000000001</v>
      </c>
      <c r="G94" s="77">
        <v>548.6</v>
      </c>
      <c r="H94" s="77">
        <v>15338457</v>
      </c>
      <c r="I94" s="77">
        <v>0.107</v>
      </c>
      <c r="M94" s="77">
        <v>41179351</v>
      </c>
      <c r="N94" s="77">
        <v>88.125</v>
      </c>
      <c r="O94" s="77">
        <v>20</v>
      </c>
      <c r="P94" s="77">
        <v>3.1859999999999999</v>
      </c>
      <c r="Q94" s="77">
        <v>1.9570000000000001</v>
      </c>
      <c r="R94" s="77">
        <v>15663.986000000001</v>
      </c>
    </row>
    <row r="95" spans="1:18">
      <c r="A95" s="77" t="s">
        <v>147</v>
      </c>
      <c r="B95" s="77" t="s">
        <v>244</v>
      </c>
      <c r="C95" s="98">
        <v>44480</v>
      </c>
      <c r="D95" s="77">
        <v>404514</v>
      </c>
      <c r="E95" s="77">
        <v>5280</v>
      </c>
      <c r="F95" s="77">
        <v>81180.372000000003</v>
      </c>
      <c r="G95" s="77">
        <v>1059.623</v>
      </c>
      <c r="H95" s="77">
        <v>7668724</v>
      </c>
      <c r="I95" s="77">
        <v>7.2999999999999995E-2</v>
      </c>
      <c r="J95" s="77">
        <v>7238787</v>
      </c>
      <c r="K95" s="77">
        <v>3777477</v>
      </c>
      <c r="L95" s="77">
        <v>3697101</v>
      </c>
      <c r="M95" s="77">
        <v>4982904</v>
      </c>
      <c r="N95" s="77">
        <v>69.873999999999995</v>
      </c>
      <c r="O95" s="77">
        <v>38.700000000000003</v>
      </c>
      <c r="P95" s="77">
        <v>13.928000000000001</v>
      </c>
      <c r="Q95" s="77">
        <v>8.6780000000000008</v>
      </c>
      <c r="R95" s="77">
        <v>67335.293000000005</v>
      </c>
    </row>
    <row r="96" spans="1:18">
      <c r="A96" s="77" t="s">
        <v>147</v>
      </c>
      <c r="B96" s="77" t="s">
        <v>245</v>
      </c>
      <c r="C96" s="98">
        <v>44479</v>
      </c>
      <c r="J96" s="77">
        <v>129494</v>
      </c>
      <c r="K96" s="77">
        <v>65485</v>
      </c>
      <c r="L96" s="77">
        <v>64009</v>
      </c>
      <c r="M96" s="77">
        <v>85410</v>
      </c>
      <c r="N96" s="77">
        <v>147.87200000000001</v>
      </c>
    </row>
    <row r="97" spans="1:18">
      <c r="A97" s="77" t="s">
        <v>145</v>
      </c>
      <c r="B97" s="77" t="s">
        <v>246</v>
      </c>
      <c r="C97" s="98">
        <v>44480</v>
      </c>
      <c r="D97" s="77">
        <v>1307870</v>
      </c>
      <c r="E97" s="77">
        <v>7940</v>
      </c>
      <c r="F97" s="77">
        <v>148794.46299999999</v>
      </c>
      <c r="G97" s="77">
        <v>903.322</v>
      </c>
      <c r="H97" s="77">
        <v>28327710</v>
      </c>
      <c r="I97" s="77">
        <v>2.1000000000000001E-2</v>
      </c>
      <c r="J97" s="77">
        <v>15647667</v>
      </c>
      <c r="K97" s="77">
        <v>6188116</v>
      </c>
      <c r="L97" s="77">
        <v>5687293</v>
      </c>
      <c r="M97" s="77">
        <v>8789776</v>
      </c>
      <c r="N97" s="77">
        <v>402.60599999999999</v>
      </c>
      <c r="O97" s="77">
        <v>30.6</v>
      </c>
      <c r="P97" s="77">
        <v>11.733000000000001</v>
      </c>
      <c r="Q97" s="77">
        <v>7.359</v>
      </c>
      <c r="R97" s="77">
        <v>33132.32</v>
      </c>
    </row>
    <row r="98" spans="1:18">
      <c r="A98" s="77" t="s">
        <v>147</v>
      </c>
      <c r="B98" s="77" t="s">
        <v>247</v>
      </c>
      <c r="C98" s="98">
        <v>44480</v>
      </c>
      <c r="D98" s="77">
        <v>4701832</v>
      </c>
      <c r="E98" s="77">
        <v>131335</v>
      </c>
      <c r="F98" s="77">
        <v>77886.846999999994</v>
      </c>
      <c r="G98" s="77">
        <v>2175.5920000000001</v>
      </c>
      <c r="H98" s="77">
        <v>95331171</v>
      </c>
      <c r="I98" s="77">
        <v>8.9999999999999993E-3</v>
      </c>
      <c r="J98" s="77">
        <v>86449863</v>
      </c>
      <c r="K98" s="77">
        <v>45821960</v>
      </c>
      <c r="L98" s="77">
        <v>41766516</v>
      </c>
      <c r="M98" s="77">
        <v>60367471</v>
      </c>
      <c r="N98" s="77">
        <v>205.85900000000001</v>
      </c>
      <c r="O98" s="77">
        <v>47.9</v>
      </c>
      <c r="P98" s="77">
        <v>23.021000000000001</v>
      </c>
      <c r="Q98" s="77">
        <v>16.239999999999998</v>
      </c>
      <c r="R98" s="77">
        <v>35220.084000000003</v>
      </c>
    </row>
    <row r="99" spans="1:18">
      <c r="A99" s="77" t="s">
        <v>153</v>
      </c>
      <c r="B99" s="77" t="s">
        <v>248</v>
      </c>
      <c r="C99" s="98">
        <v>44480</v>
      </c>
      <c r="D99" s="77">
        <v>86384</v>
      </c>
      <c r="E99" s="77">
        <v>2025</v>
      </c>
      <c r="F99" s="77">
        <v>29051.657999999999</v>
      </c>
      <c r="G99" s="77">
        <v>681.024</v>
      </c>
      <c r="H99" s="77">
        <v>617665</v>
      </c>
      <c r="I99" s="77">
        <v>0.14099999999999999</v>
      </c>
      <c r="J99" s="77">
        <v>836309</v>
      </c>
      <c r="K99" s="77">
        <v>551804</v>
      </c>
      <c r="L99" s="77">
        <v>319092</v>
      </c>
      <c r="M99" s="77">
        <v>2973462</v>
      </c>
      <c r="N99" s="77">
        <v>266.87900000000002</v>
      </c>
      <c r="O99" s="77">
        <v>31.4</v>
      </c>
      <c r="P99" s="77">
        <v>9.6839999999999993</v>
      </c>
      <c r="Q99" s="77">
        <v>6.39</v>
      </c>
      <c r="R99" s="77">
        <v>8193.5709999999999</v>
      </c>
    </row>
    <row r="100" spans="1:18">
      <c r="A100" s="77" t="s">
        <v>145</v>
      </c>
      <c r="B100" s="77" t="s">
        <v>249</v>
      </c>
      <c r="C100" s="98">
        <v>44480</v>
      </c>
      <c r="D100" s="77">
        <v>1712127</v>
      </c>
      <c r="E100" s="77">
        <v>17972</v>
      </c>
      <c r="F100" s="77">
        <v>13582.834000000001</v>
      </c>
      <c r="G100" s="77">
        <v>142.577</v>
      </c>
      <c r="H100" s="77">
        <v>24344819</v>
      </c>
      <c r="I100" s="77">
        <v>1.4E-2</v>
      </c>
      <c r="J100" s="77">
        <v>175700765</v>
      </c>
      <c r="K100" s="77">
        <v>93651522</v>
      </c>
      <c r="L100" s="77">
        <v>82049243</v>
      </c>
      <c r="M100" s="77">
        <v>126050796</v>
      </c>
      <c r="N100" s="77">
        <v>347.77800000000002</v>
      </c>
      <c r="O100" s="77">
        <v>48.2</v>
      </c>
      <c r="P100" s="77">
        <v>27.048999999999999</v>
      </c>
      <c r="Q100" s="77">
        <v>18.492999999999999</v>
      </c>
      <c r="R100" s="77">
        <v>39002.222999999998</v>
      </c>
    </row>
    <row r="101" spans="1:18">
      <c r="A101" s="77" t="s">
        <v>147</v>
      </c>
      <c r="B101" s="77" t="s">
        <v>250</v>
      </c>
      <c r="C101" s="98">
        <v>44475</v>
      </c>
      <c r="J101" s="77">
        <v>159090</v>
      </c>
      <c r="K101" s="77">
        <v>77925</v>
      </c>
      <c r="L101" s="77">
        <v>74198</v>
      </c>
      <c r="M101" s="77">
        <v>101073</v>
      </c>
    </row>
    <row r="102" spans="1:18">
      <c r="A102" s="77" t="s">
        <v>145</v>
      </c>
      <c r="B102" s="77" t="s">
        <v>251</v>
      </c>
      <c r="C102" s="98">
        <v>44480</v>
      </c>
      <c r="D102" s="77">
        <v>834778</v>
      </c>
      <c r="E102" s="77">
        <v>10818</v>
      </c>
      <c r="F102" s="77">
        <v>81290.895999999993</v>
      </c>
      <c r="G102" s="77">
        <v>1053.46</v>
      </c>
      <c r="H102" s="77">
        <v>10237614</v>
      </c>
      <c r="I102" s="77">
        <v>3.5999999999999997E-2</v>
      </c>
      <c r="J102" s="77">
        <v>7153612</v>
      </c>
      <c r="K102" s="77">
        <v>3784104</v>
      </c>
      <c r="L102" s="77">
        <v>3369508</v>
      </c>
      <c r="M102" s="77">
        <v>10269022</v>
      </c>
      <c r="N102" s="77">
        <v>109.285</v>
      </c>
      <c r="O102" s="77">
        <v>23.2</v>
      </c>
      <c r="P102" s="77">
        <v>3.81</v>
      </c>
      <c r="Q102" s="77">
        <v>2.3610000000000002</v>
      </c>
      <c r="R102" s="77">
        <v>8337.49</v>
      </c>
    </row>
    <row r="103" spans="1:18">
      <c r="A103" s="77" t="s">
        <v>145</v>
      </c>
      <c r="B103" s="77" t="s">
        <v>252</v>
      </c>
      <c r="C103" s="98">
        <v>44480</v>
      </c>
      <c r="D103" s="77">
        <v>984398</v>
      </c>
      <c r="E103" s="77">
        <v>16473</v>
      </c>
      <c r="F103" s="77">
        <v>51824.173999999999</v>
      </c>
      <c r="G103" s="77">
        <v>867.23</v>
      </c>
      <c r="J103" s="77">
        <v>14760444</v>
      </c>
      <c r="K103" s="77">
        <v>7859131</v>
      </c>
      <c r="L103" s="77">
        <v>6901313</v>
      </c>
      <c r="M103" s="77">
        <v>18994958</v>
      </c>
      <c r="N103" s="77">
        <v>6.681</v>
      </c>
      <c r="O103" s="77">
        <v>30.6</v>
      </c>
      <c r="P103" s="77">
        <v>6.9909999999999997</v>
      </c>
      <c r="Q103" s="77">
        <v>4.625</v>
      </c>
      <c r="R103" s="77">
        <v>24055.588</v>
      </c>
    </row>
    <row r="104" spans="1:18">
      <c r="A104" s="77" t="s">
        <v>149</v>
      </c>
      <c r="B104" s="77" t="s">
        <v>253</v>
      </c>
      <c r="C104" s="98">
        <v>44480</v>
      </c>
      <c r="D104" s="77">
        <v>251248</v>
      </c>
      <c r="E104" s="77">
        <v>5190</v>
      </c>
      <c r="F104" s="77">
        <v>4569.3329999999996</v>
      </c>
      <c r="G104" s="77">
        <v>94.388000000000005</v>
      </c>
      <c r="J104" s="77">
        <v>4183552</v>
      </c>
      <c r="K104" s="77">
        <v>3135700</v>
      </c>
      <c r="L104" s="77">
        <v>1047852</v>
      </c>
      <c r="M104" s="77">
        <v>54985702</v>
      </c>
      <c r="N104" s="77">
        <v>87.323999999999998</v>
      </c>
      <c r="O104" s="77">
        <v>20</v>
      </c>
      <c r="P104" s="77">
        <v>2.6859999999999999</v>
      </c>
      <c r="Q104" s="77">
        <v>1.528</v>
      </c>
      <c r="R104" s="77">
        <v>2993.0279999999998</v>
      </c>
    </row>
    <row r="105" spans="1:18">
      <c r="A105" s="77" t="s">
        <v>160</v>
      </c>
      <c r="B105" s="77" t="s">
        <v>254</v>
      </c>
      <c r="C105" s="98">
        <v>44480</v>
      </c>
      <c r="D105" s="77">
        <v>2</v>
      </c>
      <c r="F105" s="77">
        <v>16.475999999999999</v>
      </c>
      <c r="J105" s="77">
        <v>45402</v>
      </c>
      <c r="K105" s="77">
        <v>37643</v>
      </c>
      <c r="L105" s="77">
        <v>7759</v>
      </c>
      <c r="M105" s="77">
        <v>121388</v>
      </c>
      <c r="N105" s="77">
        <v>143.70099999999999</v>
      </c>
      <c r="O105" s="77">
        <v>23.2</v>
      </c>
      <c r="P105" s="77">
        <v>3.895</v>
      </c>
      <c r="Q105" s="77">
        <v>2.21</v>
      </c>
      <c r="R105" s="77">
        <v>1981.1320000000001</v>
      </c>
    </row>
    <row r="106" spans="1:18">
      <c r="A106" s="77" t="s">
        <v>147</v>
      </c>
      <c r="B106" s="77" t="s">
        <v>255</v>
      </c>
      <c r="C106" s="98">
        <v>44480</v>
      </c>
      <c r="D106" s="77">
        <v>160400</v>
      </c>
      <c r="E106" s="77">
        <v>2972</v>
      </c>
      <c r="F106" s="77">
        <v>90346.956999999995</v>
      </c>
      <c r="G106" s="77">
        <v>1674.01</v>
      </c>
      <c r="H106" s="77">
        <v>1217376</v>
      </c>
      <c r="I106" s="77">
        <v>1.2999999999999999E-2</v>
      </c>
      <c r="J106" s="77">
        <v>1456845</v>
      </c>
      <c r="K106" s="77">
        <v>824278</v>
      </c>
      <c r="L106" s="77">
        <v>632567</v>
      </c>
      <c r="M106" s="77">
        <v>1775378</v>
      </c>
      <c r="N106" s="77">
        <v>168.155</v>
      </c>
      <c r="R106" s="77">
        <v>9795.8340000000007</v>
      </c>
    </row>
    <row r="107" spans="1:18">
      <c r="A107" s="77" t="s">
        <v>145</v>
      </c>
      <c r="B107" s="77" t="s">
        <v>256</v>
      </c>
      <c r="C107" s="98">
        <v>44480</v>
      </c>
      <c r="D107" s="77">
        <v>412121</v>
      </c>
      <c r="E107" s="77">
        <v>2455</v>
      </c>
      <c r="F107" s="77">
        <v>95209.876999999993</v>
      </c>
      <c r="G107" s="77">
        <v>567.16399999999999</v>
      </c>
      <c r="H107" s="77">
        <v>4389988</v>
      </c>
      <c r="I107" s="77">
        <v>2E-3</v>
      </c>
      <c r="M107" s="77">
        <v>4328553</v>
      </c>
      <c r="N107" s="77">
        <v>232.12799999999999</v>
      </c>
      <c r="O107" s="77">
        <v>33.700000000000003</v>
      </c>
      <c r="P107" s="77">
        <v>2.3450000000000002</v>
      </c>
      <c r="Q107" s="77">
        <v>1.1140000000000001</v>
      </c>
      <c r="R107" s="77">
        <v>65530.536999999997</v>
      </c>
    </row>
    <row r="108" spans="1:18">
      <c r="A108" s="77" t="s">
        <v>145</v>
      </c>
      <c r="B108" s="77" t="s">
        <v>257</v>
      </c>
      <c r="C108" s="98">
        <v>44480</v>
      </c>
      <c r="D108" s="77">
        <v>179338</v>
      </c>
      <c r="E108" s="77">
        <v>2620</v>
      </c>
      <c r="F108" s="77">
        <v>27056.218000000001</v>
      </c>
      <c r="G108" s="77">
        <v>395.27199999999999</v>
      </c>
      <c r="J108" s="77">
        <v>1545233</v>
      </c>
      <c r="K108" s="77">
        <v>880003</v>
      </c>
      <c r="L108" s="77">
        <v>663856</v>
      </c>
      <c r="M108" s="77">
        <v>6628347</v>
      </c>
      <c r="N108" s="77">
        <v>32.332999999999998</v>
      </c>
      <c r="O108" s="77">
        <v>26.3</v>
      </c>
      <c r="P108" s="77">
        <v>4.4889999999999999</v>
      </c>
      <c r="Q108" s="77">
        <v>2.8820000000000001</v>
      </c>
      <c r="R108" s="77">
        <v>3393.4740000000002</v>
      </c>
    </row>
    <row r="109" spans="1:18">
      <c r="A109" s="77" t="s">
        <v>145</v>
      </c>
      <c r="B109" s="77" t="s">
        <v>258</v>
      </c>
      <c r="C109" s="98">
        <v>44480</v>
      </c>
      <c r="D109" s="77">
        <v>28849</v>
      </c>
      <c r="E109" s="77">
        <v>30</v>
      </c>
      <c r="F109" s="77">
        <v>3909.4189999999999</v>
      </c>
      <c r="G109" s="77">
        <v>4.0650000000000004</v>
      </c>
      <c r="H109" s="77">
        <v>612410</v>
      </c>
      <c r="I109" s="77">
        <v>8.3000000000000004E-2</v>
      </c>
      <c r="K109" s="77">
        <v>2983763</v>
      </c>
      <c r="L109" s="77">
        <v>2080368</v>
      </c>
      <c r="M109" s="77">
        <v>7379358</v>
      </c>
      <c r="N109" s="77">
        <v>29.715</v>
      </c>
      <c r="O109" s="77">
        <v>24.4</v>
      </c>
      <c r="P109" s="77">
        <v>4.0289999999999999</v>
      </c>
      <c r="Q109" s="77">
        <v>2.3220000000000001</v>
      </c>
      <c r="R109" s="77">
        <v>6397.36</v>
      </c>
    </row>
    <row r="110" spans="1:18">
      <c r="A110" s="77" t="s">
        <v>147</v>
      </c>
      <c r="B110" s="77" t="s">
        <v>259</v>
      </c>
      <c r="C110" s="98">
        <v>44480</v>
      </c>
      <c r="D110" s="77">
        <v>172278</v>
      </c>
      <c r="E110" s="77">
        <v>2806</v>
      </c>
      <c r="F110" s="77">
        <v>92278.57</v>
      </c>
      <c r="G110" s="77">
        <v>1502.999</v>
      </c>
      <c r="J110" s="77">
        <v>1703879</v>
      </c>
      <c r="K110" s="77">
        <v>963175</v>
      </c>
      <c r="L110" s="77">
        <v>897919</v>
      </c>
      <c r="M110" s="77">
        <v>1866934</v>
      </c>
      <c r="N110" s="77">
        <v>31.212</v>
      </c>
      <c r="O110" s="77">
        <v>43.9</v>
      </c>
      <c r="P110" s="77">
        <v>19.754000000000001</v>
      </c>
      <c r="Q110" s="77">
        <v>14.135999999999999</v>
      </c>
      <c r="R110" s="77">
        <v>25063.846000000001</v>
      </c>
    </row>
    <row r="111" spans="1:18">
      <c r="A111" s="77" t="s">
        <v>145</v>
      </c>
      <c r="B111" s="77" t="s">
        <v>260</v>
      </c>
      <c r="C111" s="98">
        <v>44480</v>
      </c>
      <c r="D111" s="77">
        <v>630382</v>
      </c>
      <c r="E111" s="77">
        <v>8389</v>
      </c>
      <c r="F111" s="77">
        <v>93125.710999999996</v>
      </c>
      <c r="G111" s="77">
        <v>1239.299</v>
      </c>
      <c r="J111" s="77">
        <v>3028487</v>
      </c>
      <c r="K111" s="77">
        <v>1664450</v>
      </c>
      <c r="L111" s="77">
        <v>1364037</v>
      </c>
      <c r="M111" s="77">
        <v>6769151</v>
      </c>
      <c r="N111" s="77">
        <v>594.56100000000004</v>
      </c>
      <c r="O111" s="77">
        <v>31.1</v>
      </c>
      <c r="P111" s="77">
        <v>8.5139999999999993</v>
      </c>
      <c r="Q111" s="77">
        <v>5.43</v>
      </c>
      <c r="R111" s="77">
        <v>13367.565000000001</v>
      </c>
    </row>
    <row r="112" spans="1:18">
      <c r="A112" s="77" t="s">
        <v>149</v>
      </c>
      <c r="B112" s="77" t="s">
        <v>261</v>
      </c>
      <c r="C112" s="98">
        <v>44480</v>
      </c>
      <c r="D112" s="77">
        <v>21460</v>
      </c>
      <c r="E112" s="77">
        <v>652</v>
      </c>
      <c r="F112" s="77">
        <v>9939.4779999999992</v>
      </c>
      <c r="G112" s="77">
        <v>301.98200000000003</v>
      </c>
      <c r="J112" s="77">
        <v>383341</v>
      </c>
      <c r="K112" s="77">
        <v>347836</v>
      </c>
      <c r="L112" s="77">
        <v>339506</v>
      </c>
      <c r="M112" s="77">
        <v>2159067</v>
      </c>
      <c r="N112" s="77">
        <v>73.561999999999998</v>
      </c>
      <c r="O112" s="77">
        <v>22.2</v>
      </c>
      <c r="P112" s="77">
        <v>4.5060000000000002</v>
      </c>
      <c r="Q112" s="77">
        <v>2.6469999999999998</v>
      </c>
      <c r="R112" s="77">
        <v>2851.1529999999998</v>
      </c>
    </row>
    <row r="113" spans="1:18">
      <c r="A113" s="77" t="s">
        <v>149</v>
      </c>
      <c r="B113" s="77" t="s">
        <v>262</v>
      </c>
      <c r="C113" s="98">
        <v>44480</v>
      </c>
      <c r="D113" s="77">
        <v>5801</v>
      </c>
      <c r="E113" s="77">
        <v>286</v>
      </c>
      <c r="F113" s="77">
        <v>1119.8389999999999</v>
      </c>
      <c r="G113" s="77">
        <v>55.21</v>
      </c>
      <c r="J113" s="77">
        <v>93617</v>
      </c>
      <c r="K113" s="77">
        <v>84482</v>
      </c>
      <c r="L113" s="77">
        <v>9135</v>
      </c>
      <c r="M113" s="77">
        <v>5180208</v>
      </c>
      <c r="N113" s="77">
        <v>49.127000000000002</v>
      </c>
      <c r="O113" s="77">
        <v>19.2</v>
      </c>
      <c r="P113" s="77">
        <v>3.0569999999999999</v>
      </c>
      <c r="Q113" s="77">
        <v>1.756</v>
      </c>
      <c r="R113" s="77">
        <v>752.78800000000001</v>
      </c>
    </row>
    <row r="114" spans="1:18">
      <c r="A114" s="77" t="s">
        <v>149</v>
      </c>
      <c r="B114" s="77" t="s">
        <v>263</v>
      </c>
      <c r="C114" s="98">
        <v>44480</v>
      </c>
      <c r="D114" s="77">
        <v>346813</v>
      </c>
      <c r="E114" s="77">
        <v>4792</v>
      </c>
      <c r="F114" s="77">
        <v>49839.923000000003</v>
      </c>
      <c r="G114" s="77">
        <v>688.65</v>
      </c>
      <c r="J114" s="77">
        <v>1689252</v>
      </c>
      <c r="K114" s="77">
        <v>1424692</v>
      </c>
      <c r="L114" s="77">
        <v>264560</v>
      </c>
      <c r="M114" s="77">
        <v>6958538</v>
      </c>
      <c r="N114" s="77">
        <v>3.6230000000000002</v>
      </c>
      <c r="O114" s="77">
        <v>29</v>
      </c>
      <c r="P114" s="77">
        <v>4.4240000000000004</v>
      </c>
      <c r="Q114" s="77">
        <v>2.8159999999999998</v>
      </c>
      <c r="R114" s="77">
        <v>17881.508999999998</v>
      </c>
    </row>
    <row r="115" spans="1:18">
      <c r="A115" s="77" t="s">
        <v>147</v>
      </c>
      <c r="B115" s="77" t="s">
        <v>264</v>
      </c>
      <c r="C115" s="98">
        <v>44480</v>
      </c>
      <c r="D115" s="77">
        <v>3567</v>
      </c>
      <c r="E115" s="77">
        <v>60</v>
      </c>
      <c r="F115" s="77">
        <v>93245.150999999998</v>
      </c>
      <c r="G115" s="77">
        <v>1568.463</v>
      </c>
      <c r="H115" s="77">
        <v>69730</v>
      </c>
      <c r="I115" s="77">
        <v>1.0999999999999999E-2</v>
      </c>
      <c r="J115" s="77">
        <v>47078</v>
      </c>
      <c r="K115" s="77">
        <v>24744</v>
      </c>
      <c r="L115" s="77">
        <v>23015</v>
      </c>
      <c r="M115" s="77">
        <v>38254</v>
      </c>
      <c r="N115" s="77">
        <v>237.012</v>
      </c>
    </row>
    <row r="116" spans="1:18">
      <c r="A116" s="77" t="s">
        <v>147</v>
      </c>
      <c r="B116" s="77" t="s">
        <v>265</v>
      </c>
      <c r="C116" s="98">
        <v>44480</v>
      </c>
      <c r="D116" s="77">
        <v>353289</v>
      </c>
      <c r="E116" s="77">
        <v>5248</v>
      </c>
      <c r="F116" s="77">
        <v>131340.93900000001</v>
      </c>
      <c r="G116" s="77">
        <v>1951.029</v>
      </c>
      <c r="H116" s="77">
        <v>5381950</v>
      </c>
      <c r="I116" s="77">
        <v>0.104</v>
      </c>
      <c r="J116" s="77">
        <v>3279760</v>
      </c>
      <c r="K116" s="77">
        <v>1768497</v>
      </c>
      <c r="L116" s="77">
        <v>1637461</v>
      </c>
      <c r="M116" s="77">
        <v>2689862</v>
      </c>
      <c r="N116" s="77">
        <v>45.134999999999998</v>
      </c>
      <c r="O116" s="77">
        <v>43.5</v>
      </c>
      <c r="P116" s="77">
        <v>19.001999999999999</v>
      </c>
      <c r="Q116" s="77">
        <v>13.778</v>
      </c>
      <c r="R116" s="77">
        <v>29524.264999999999</v>
      </c>
    </row>
    <row r="117" spans="1:18">
      <c r="A117" s="77" t="s">
        <v>147</v>
      </c>
      <c r="B117" s="77" t="s">
        <v>266</v>
      </c>
      <c r="C117" s="98">
        <v>44480</v>
      </c>
      <c r="D117" s="77">
        <v>79196</v>
      </c>
      <c r="E117" s="77">
        <v>837</v>
      </c>
      <c r="F117" s="77">
        <v>124754.65300000001</v>
      </c>
      <c r="G117" s="77">
        <v>1318.4960000000001</v>
      </c>
      <c r="H117" s="77">
        <v>3543784</v>
      </c>
      <c r="I117" s="77">
        <v>4.3999999999999997E-2</v>
      </c>
      <c r="J117" s="77">
        <v>799074</v>
      </c>
      <c r="K117" s="77">
        <v>421719</v>
      </c>
      <c r="M117" s="77">
        <v>634814</v>
      </c>
      <c r="N117" s="77">
        <v>231.447</v>
      </c>
      <c r="O117" s="77">
        <v>39.700000000000003</v>
      </c>
      <c r="P117" s="77">
        <v>14.311999999999999</v>
      </c>
      <c r="Q117" s="77">
        <v>9.8420000000000005</v>
      </c>
      <c r="R117" s="77">
        <v>94277.964999999997</v>
      </c>
    </row>
    <row r="118" spans="1:18">
      <c r="A118" s="77" t="s">
        <v>145</v>
      </c>
      <c r="B118" s="77" t="s">
        <v>267</v>
      </c>
      <c r="C118" s="98">
        <v>44472</v>
      </c>
      <c r="J118" s="77">
        <v>684611</v>
      </c>
      <c r="K118" s="77">
        <v>372726</v>
      </c>
      <c r="L118" s="77">
        <v>313997</v>
      </c>
      <c r="M118" s="77">
        <v>658391</v>
      </c>
      <c r="N118" s="77">
        <v>20546.766</v>
      </c>
      <c r="O118" s="77">
        <v>39.200000000000003</v>
      </c>
      <c r="P118" s="77">
        <v>9.798</v>
      </c>
      <c r="Q118" s="77">
        <v>4.9909999999999997</v>
      </c>
      <c r="R118" s="77">
        <v>104861.851</v>
      </c>
    </row>
    <row r="119" spans="1:18">
      <c r="A119" s="77" t="s">
        <v>149</v>
      </c>
      <c r="B119" s="77" t="s">
        <v>268</v>
      </c>
      <c r="C119" s="98">
        <v>44480</v>
      </c>
      <c r="D119" s="77">
        <v>43610</v>
      </c>
      <c r="E119" s="77">
        <v>960</v>
      </c>
      <c r="F119" s="77">
        <v>1534.087</v>
      </c>
      <c r="G119" s="77">
        <v>33.770000000000003</v>
      </c>
      <c r="M119" s="77">
        <v>28427333</v>
      </c>
      <c r="N119" s="77">
        <v>43.951000000000001</v>
      </c>
      <c r="O119" s="77">
        <v>19.600000000000001</v>
      </c>
      <c r="P119" s="77">
        <v>2.9289999999999998</v>
      </c>
      <c r="Q119" s="77">
        <v>1.6859999999999999</v>
      </c>
      <c r="R119" s="77">
        <v>1416.44</v>
      </c>
    </row>
    <row r="120" spans="1:18">
      <c r="A120" s="77" t="s">
        <v>149</v>
      </c>
      <c r="B120" s="77" t="s">
        <v>269</v>
      </c>
      <c r="C120" s="98">
        <v>44480</v>
      </c>
      <c r="D120" s="77">
        <v>61679</v>
      </c>
      <c r="E120" s="77">
        <v>2290</v>
      </c>
      <c r="F120" s="77">
        <v>3139.2510000000002</v>
      </c>
      <c r="G120" s="77">
        <v>116.553</v>
      </c>
      <c r="J120" s="77">
        <v>1117234</v>
      </c>
      <c r="K120" s="77">
        <v>868390</v>
      </c>
      <c r="L120" s="77">
        <v>510239</v>
      </c>
      <c r="M120" s="77">
        <v>19647681</v>
      </c>
      <c r="N120" s="77">
        <v>197.51900000000001</v>
      </c>
      <c r="O120" s="77">
        <v>18.100000000000001</v>
      </c>
      <c r="P120" s="77">
        <v>2.9790000000000001</v>
      </c>
      <c r="Q120" s="77">
        <v>1.7829999999999999</v>
      </c>
      <c r="R120" s="77">
        <v>1095.0419999999999</v>
      </c>
    </row>
    <row r="121" spans="1:18">
      <c r="A121" s="77" t="s">
        <v>145</v>
      </c>
      <c r="B121" s="77" t="s">
        <v>270</v>
      </c>
      <c r="C121" s="98">
        <v>44480</v>
      </c>
      <c r="D121" s="77">
        <v>2346303</v>
      </c>
      <c r="E121" s="77">
        <v>27422</v>
      </c>
      <c r="F121" s="77">
        <v>71585.581999999995</v>
      </c>
      <c r="G121" s="77">
        <v>836.64400000000001</v>
      </c>
      <c r="J121" s="77">
        <v>45835200</v>
      </c>
      <c r="K121" s="77">
        <v>24511724</v>
      </c>
      <c r="L121" s="77">
        <v>21437380</v>
      </c>
      <c r="M121" s="77">
        <v>32776195</v>
      </c>
      <c r="N121" s="77">
        <v>96.254000000000005</v>
      </c>
      <c r="O121" s="77">
        <v>29.9</v>
      </c>
      <c r="P121" s="77">
        <v>6.2930000000000001</v>
      </c>
      <c r="Q121" s="77">
        <v>3.407</v>
      </c>
      <c r="R121" s="77">
        <v>26808.164000000001</v>
      </c>
    </row>
    <row r="122" spans="1:18">
      <c r="A122" s="77" t="s">
        <v>145</v>
      </c>
      <c r="B122" s="77" t="s">
        <v>271</v>
      </c>
      <c r="C122" s="98">
        <v>44480</v>
      </c>
      <c r="D122" s="77">
        <v>85622</v>
      </c>
      <c r="E122" s="77">
        <v>234</v>
      </c>
      <c r="F122" s="77">
        <v>157503.40299999999</v>
      </c>
      <c r="G122" s="77">
        <v>430.44799999999998</v>
      </c>
      <c r="H122" s="77">
        <v>1543706</v>
      </c>
      <c r="I122" s="77">
        <v>0.02</v>
      </c>
      <c r="J122" s="77">
        <v>739914</v>
      </c>
      <c r="K122" s="77">
        <v>393133</v>
      </c>
      <c r="L122" s="77">
        <v>346781</v>
      </c>
      <c r="M122" s="77">
        <v>543620</v>
      </c>
      <c r="N122" s="77">
        <v>1454.433</v>
      </c>
      <c r="O122" s="77">
        <v>30.6</v>
      </c>
      <c r="P122" s="77">
        <v>4.12</v>
      </c>
      <c r="Q122" s="77">
        <v>2.875</v>
      </c>
      <c r="R122" s="77">
        <v>15183.616</v>
      </c>
    </row>
    <row r="123" spans="1:18">
      <c r="A123" s="77" t="s">
        <v>149</v>
      </c>
      <c r="B123" s="77" t="s">
        <v>272</v>
      </c>
      <c r="C123" s="98">
        <v>44480</v>
      </c>
      <c r="D123" s="77">
        <v>15490</v>
      </c>
      <c r="E123" s="77">
        <v>553</v>
      </c>
      <c r="F123" s="77">
        <v>742.72199999999998</v>
      </c>
      <c r="G123" s="77">
        <v>26.515999999999998</v>
      </c>
      <c r="J123" s="77">
        <v>413563</v>
      </c>
      <c r="K123" s="77">
        <v>318655</v>
      </c>
      <c r="L123" s="77">
        <v>240321</v>
      </c>
      <c r="M123" s="77">
        <v>20855724</v>
      </c>
      <c r="N123" s="77">
        <v>15.196</v>
      </c>
      <c r="O123" s="77">
        <v>16.399999999999999</v>
      </c>
      <c r="P123" s="77">
        <v>2.5190000000000001</v>
      </c>
      <c r="Q123" s="77">
        <v>1.486</v>
      </c>
      <c r="R123" s="77">
        <v>2014.306</v>
      </c>
    </row>
    <row r="124" spans="1:18">
      <c r="A124" s="77" t="s">
        <v>147</v>
      </c>
      <c r="B124" s="77" t="s">
        <v>273</v>
      </c>
      <c r="C124" s="98">
        <v>44480</v>
      </c>
      <c r="D124" s="77">
        <v>37358</v>
      </c>
      <c r="E124" s="77">
        <v>459</v>
      </c>
      <c r="F124" s="77">
        <v>72601.27</v>
      </c>
      <c r="G124" s="77">
        <v>892.01700000000005</v>
      </c>
      <c r="H124" s="77">
        <v>1306982</v>
      </c>
      <c r="I124" s="77">
        <v>1.2E-2</v>
      </c>
      <c r="J124" s="77">
        <v>840675</v>
      </c>
      <c r="K124" s="77">
        <v>423849</v>
      </c>
      <c r="L124" s="77">
        <v>423566</v>
      </c>
      <c r="M124" s="77">
        <v>514564</v>
      </c>
      <c r="N124" s="77">
        <v>1454.037</v>
      </c>
      <c r="O124" s="77">
        <v>42.4</v>
      </c>
      <c r="P124" s="77">
        <v>19.425999999999998</v>
      </c>
      <c r="Q124" s="77">
        <v>11.324</v>
      </c>
      <c r="R124" s="77">
        <v>36513.322999999997</v>
      </c>
    </row>
    <row r="125" spans="1:18">
      <c r="A125" s="77" t="s">
        <v>160</v>
      </c>
      <c r="B125" s="77" t="s">
        <v>274</v>
      </c>
      <c r="C125" s="98">
        <v>44480</v>
      </c>
      <c r="D125" s="77">
        <v>4</v>
      </c>
      <c r="F125" s="77">
        <v>67.093999999999994</v>
      </c>
      <c r="M125" s="77">
        <v>59618</v>
      </c>
      <c r="N125" s="77">
        <v>295.14999999999998</v>
      </c>
      <c r="R125" s="77">
        <v>3819.2020000000002</v>
      </c>
    </row>
    <row r="126" spans="1:18">
      <c r="A126" s="77" t="s">
        <v>149</v>
      </c>
      <c r="B126" s="77" t="s">
        <v>275</v>
      </c>
      <c r="C126" s="98">
        <v>44480</v>
      </c>
      <c r="D126" s="77">
        <v>36432</v>
      </c>
      <c r="E126" s="77">
        <v>785</v>
      </c>
      <c r="F126" s="77">
        <v>7629.5619999999999</v>
      </c>
      <c r="G126" s="77">
        <v>164.39400000000001</v>
      </c>
      <c r="M126" s="77">
        <v>4775110</v>
      </c>
      <c r="N126" s="77">
        <v>4.2889999999999997</v>
      </c>
      <c r="O126" s="77">
        <v>20.3</v>
      </c>
      <c r="P126" s="77">
        <v>3.1379999999999999</v>
      </c>
      <c r="Q126" s="77">
        <v>1.792</v>
      </c>
      <c r="R126" s="77">
        <v>3597.6329999999998</v>
      </c>
    </row>
    <row r="127" spans="1:18">
      <c r="A127" s="77" t="s">
        <v>149</v>
      </c>
      <c r="B127" s="77" t="s">
        <v>276</v>
      </c>
      <c r="C127" s="98">
        <v>44480</v>
      </c>
      <c r="D127" s="77">
        <v>16291</v>
      </c>
      <c r="E127" s="77">
        <v>110</v>
      </c>
      <c r="F127" s="77">
        <v>12793.028</v>
      </c>
      <c r="G127" s="77">
        <v>86.381</v>
      </c>
      <c r="J127" s="77">
        <v>1686047</v>
      </c>
      <c r="K127" s="77">
        <v>870130</v>
      </c>
      <c r="L127" s="77">
        <v>815917</v>
      </c>
      <c r="M127" s="77">
        <v>1273428</v>
      </c>
      <c r="N127" s="77">
        <v>622.96199999999999</v>
      </c>
      <c r="O127" s="77">
        <v>37.4</v>
      </c>
      <c r="P127" s="77">
        <v>10.945</v>
      </c>
      <c r="Q127" s="77">
        <v>5.8840000000000003</v>
      </c>
      <c r="R127" s="77">
        <v>20292.744999999999</v>
      </c>
    </row>
    <row r="128" spans="1:18">
      <c r="A128" s="77" t="s">
        <v>153</v>
      </c>
      <c r="B128" s="77" t="s">
        <v>277</v>
      </c>
      <c r="C128" s="98">
        <v>44480</v>
      </c>
      <c r="D128" s="77">
        <v>3725242</v>
      </c>
      <c r="E128" s="77">
        <v>282227</v>
      </c>
      <c r="F128" s="77">
        <v>28598.023000000001</v>
      </c>
      <c r="G128" s="77">
        <v>2166.607</v>
      </c>
      <c r="H128" s="77">
        <v>10389202</v>
      </c>
      <c r="I128" s="77">
        <v>0.249</v>
      </c>
      <c r="J128" s="77">
        <v>107381477</v>
      </c>
      <c r="K128" s="77">
        <v>66680553</v>
      </c>
      <c r="L128" s="77">
        <v>48482445</v>
      </c>
      <c r="M128" s="77">
        <v>130262220</v>
      </c>
      <c r="N128" s="77">
        <v>66.444000000000003</v>
      </c>
      <c r="O128" s="77">
        <v>29.3</v>
      </c>
      <c r="P128" s="77">
        <v>6.8570000000000002</v>
      </c>
      <c r="Q128" s="77">
        <v>4.3209999999999997</v>
      </c>
      <c r="R128" s="77">
        <v>17336.469000000001</v>
      </c>
    </row>
    <row r="129" spans="1:18">
      <c r="A129" s="77" t="s">
        <v>160</v>
      </c>
      <c r="B129" s="77" t="s">
        <v>278</v>
      </c>
      <c r="C129" s="98">
        <v>44480</v>
      </c>
      <c r="D129" s="77">
        <v>1</v>
      </c>
      <c r="F129" s="77">
        <v>8.6020000000000003</v>
      </c>
      <c r="M129" s="77">
        <v>116255</v>
      </c>
      <c r="N129" s="77">
        <v>150.77699999999999</v>
      </c>
      <c r="O129" s="77">
        <v>23</v>
      </c>
      <c r="P129" s="77">
        <v>4.8099999999999996</v>
      </c>
      <c r="Q129" s="77">
        <v>2.3919999999999999</v>
      </c>
      <c r="R129" s="77">
        <v>3299.4639999999999</v>
      </c>
    </row>
    <row r="130" spans="1:18">
      <c r="A130" s="77" t="s">
        <v>147</v>
      </c>
      <c r="B130" s="77" t="s">
        <v>279</v>
      </c>
      <c r="C130" s="98">
        <v>44480</v>
      </c>
      <c r="D130" s="77">
        <v>307182</v>
      </c>
      <c r="E130" s="77">
        <v>7048</v>
      </c>
      <c r="F130" s="77">
        <v>76337.001000000004</v>
      </c>
      <c r="G130" s="77">
        <v>1751.48</v>
      </c>
      <c r="H130" s="77">
        <v>1822979</v>
      </c>
      <c r="I130" s="77">
        <v>0.189</v>
      </c>
      <c r="J130" s="77">
        <v>1437198</v>
      </c>
      <c r="K130" s="77">
        <v>824986</v>
      </c>
      <c r="L130" s="77">
        <v>812959</v>
      </c>
      <c r="M130" s="77">
        <v>4024025</v>
      </c>
      <c r="N130" s="77">
        <v>123.655</v>
      </c>
      <c r="O130" s="77">
        <v>37.6</v>
      </c>
      <c r="P130" s="77">
        <v>10.864000000000001</v>
      </c>
      <c r="Q130" s="77">
        <v>6.9550000000000001</v>
      </c>
      <c r="R130" s="77">
        <v>5189.9719999999998</v>
      </c>
    </row>
    <row r="131" spans="1:18">
      <c r="A131" s="77" t="s">
        <v>147</v>
      </c>
      <c r="B131" s="77" t="s">
        <v>280</v>
      </c>
      <c r="C131" s="98">
        <v>44480</v>
      </c>
      <c r="D131" s="77">
        <v>3336</v>
      </c>
      <c r="E131" s="77">
        <v>35</v>
      </c>
      <c r="F131" s="77">
        <v>84412.955000000002</v>
      </c>
      <c r="G131" s="77">
        <v>885.62800000000004</v>
      </c>
      <c r="M131" s="77">
        <v>39520</v>
      </c>
      <c r="N131" s="77">
        <v>19347.5</v>
      </c>
    </row>
    <row r="132" spans="1:18">
      <c r="A132" s="77" t="s">
        <v>145</v>
      </c>
      <c r="B132" s="77" t="s">
        <v>281</v>
      </c>
      <c r="C132" s="98">
        <v>44480</v>
      </c>
      <c r="D132" s="77">
        <v>326738</v>
      </c>
      <c r="E132" s="77">
        <v>1450</v>
      </c>
      <c r="F132" s="77">
        <v>98140.68</v>
      </c>
      <c r="G132" s="77">
        <v>435.529</v>
      </c>
      <c r="H132" s="77">
        <v>4074039</v>
      </c>
      <c r="I132" s="77">
        <v>0.25900000000000001</v>
      </c>
      <c r="J132" s="77">
        <v>4387025</v>
      </c>
      <c r="K132" s="77">
        <v>2252914</v>
      </c>
      <c r="L132" s="77">
        <v>2134111</v>
      </c>
      <c r="M132" s="77">
        <v>3329282</v>
      </c>
      <c r="N132" s="77">
        <v>1.98</v>
      </c>
      <c r="O132" s="77">
        <v>28.6</v>
      </c>
      <c r="P132" s="77">
        <v>4.0309999999999997</v>
      </c>
      <c r="Q132" s="77">
        <v>2.4209999999999998</v>
      </c>
      <c r="R132" s="77">
        <v>11840.846</v>
      </c>
    </row>
    <row r="133" spans="1:18">
      <c r="A133" s="77" t="s">
        <v>147</v>
      </c>
      <c r="B133" s="77" t="s">
        <v>282</v>
      </c>
      <c r="C133" s="98">
        <v>44480</v>
      </c>
      <c r="D133" s="77">
        <v>135533</v>
      </c>
      <c r="E133" s="77">
        <v>1992</v>
      </c>
      <c r="F133" s="77">
        <v>215799.35399999999</v>
      </c>
      <c r="G133" s="77">
        <v>3171.7170000000001</v>
      </c>
      <c r="J133" s="77">
        <v>475813</v>
      </c>
      <c r="K133" s="77">
        <v>250947</v>
      </c>
      <c r="L133" s="77">
        <v>224866</v>
      </c>
      <c r="M133" s="77">
        <v>628051</v>
      </c>
      <c r="N133" s="77">
        <v>46.28</v>
      </c>
      <c r="O133" s="77">
        <v>39.1</v>
      </c>
      <c r="P133" s="77">
        <v>14.762</v>
      </c>
      <c r="Q133" s="77">
        <v>9.3949999999999996</v>
      </c>
      <c r="R133" s="77">
        <v>16409.288</v>
      </c>
    </row>
    <row r="134" spans="1:18">
      <c r="A134" s="77" t="s">
        <v>153</v>
      </c>
      <c r="B134" s="77" t="s">
        <v>283</v>
      </c>
      <c r="C134" s="98">
        <v>44477</v>
      </c>
      <c r="J134" s="77">
        <v>2911</v>
      </c>
      <c r="K134" s="77">
        <v>1502</v>
      </c>
      <c r="L134" s="77">
        <v>1409</v>
      </c>
      <c r="M134" s="77">
        <v>4981</v>
      </c>
    </row>
    <row r="135" spans="1:18">
      <c r="A135" s="77" t="s">
        <v>149</v>
      </c>
      <c r="B135" s="77" t="s">
        <v>284</v>
      </c>
      <c r="C135" s="98">
        <v>44480</v>
      </c>
      <c r="D135" s="77">
        <v>939356</v>
      </c>
      <c r="E135" s="77">
        <v>14474</v>
      </c>
      <c r="F135" s="77">
        <v>25153.603999999999</v>
      </c>
      <c r="G135" s="77">
        <v>387.57799999999997</v>
      </c>
      <c r="H135" s="77">
        <v>8853903</v>
      </c>
      <c r="I135" s="77">
        <v>5.1999999999999998E-2</v>
      </c>
      <c r="J135" s="77">
        <v>43122611</v>
      </c>
      <c r="K135" s="77">
        <v>23023859</v>
      </c>
      <c r="L135" s="77">
        <v>20098752</v>
      </c>
      <c r="M135" s="77">
        <v>37344787</v>
      </c>
      <c r="N135" s="77">
        <v>80.08</v>
      </c>
      <c r="O135" s="77">
        <v>29.6</v>
      </c>
      <c r="P135" s="77">
        <v>6.7690000000000001</v>
      </c>
      <c r="Q135" s="77">
        <v>4.2089999999999996</v>
      </c>
      <c r="R135" s="77">
        <v>7485.0129999999999</v>
      </c>
    </row>
    <row r="136" spans="1:18">
      <c r="A136" s="77" t="s">
        <v>149</v>
      </c>
      <c r="B136" s="77" t="s">
        <v>285</v>
      </c>
      <c r="C136" s="98">
        <v>44480</v>
      </c>
      <c r="D136" s="77">
        <v>150991</v>
      </c>
      <c r="E136" s="77">
        <v>1924</v>
      </c>
      <c r="F136" s="77">
        <v>4694.549</v>
      </c>
      <c r="G136" s="77">
        <v>59.82</v>
      </c>
      <c r="H136" s="77">
        <v>901901</v>
      </c>
      <c r="I136" s="77">
        <v>3.7999999999999999E-2</v>
      </c>
      <c r="J136" s="77">
        <v>3677063</v>
      </c>
      <c r="K136" s="77">
        <v>1903730</v>
      </c>
      <c r="L136" s="77">
        <v>1773333</v>
      </c>
      <c r="M136" s="77">
        <v>32163045</v>
      </c>
      <c r="N136" s="77">
        <v>37.728000000000002</v>
      </c>
      <c r="O136" s="77">
        <v>17.7</v>
      </c>
      <c r="P136" s="77">
        <v>3.1579999999999999</v>
      </c>
      <c r="Q136" s="77">
        <v>1.87</v>
      </c>
      <c r="R136" s="77">
        <v>1136.1030000000001</v>
      </c>
    </row>
    <row r="137" spans="1:18">
      <c r="A137" s="77" t="s">
        <v>145</v>
      </c>
      <c r="B137" s="77" t="s">
        <v>286</v>
      </c>
      <c r="C137" s="98">
        <v>44480</v>
      </c>
      <c r="D137" s="77">
        <v>479848</v>
      </c>
      <c r="E137" s="77">
        <v>18162</v>
      </c>
      <c r="F137" s="77">
        <v>8755.39</v>
      </c>
      <c r="G137" s="77">
        <v>331.387</v>
      </c>
      <c r="H137" s="77">
        <v>4376017</v>
      </c>
      <c r="I137" s="77">
        <v>7.8E-2</v>
      </c>
      <c r="J137" s="77">
        <v>12263702</v>
      </c>
      <c r="K137" s="77">
        <v>8390746</v>
      </c>
      <c r="L137" s="77">
        <v>3872956</v>
      </c>
      <c r="M137" s="77">
        <v>54806014</v>
      </c>
      <c r="N137" s="77">
        <v>81.721000000000004</v>
      </c>
      <c r="O137" s="77">
        <v>29.1</v>
      </c>
      <c r="P137" s="77">
        <v>5.7320000000000002</v>
      </c>
      <c r="Q137" s="77">
        <v>3.12</v>
      </c>
      <c r="R137" s="77">
        <v>5591.5969999999998</v>
      </c>
    </row>
    <row r="138" spans="1:18">
      <c r="A138" s="77" t="s">
        <v>149</v>
      </c>
      <c r="B138" s="77" t="s">
        <v>287</v>
      </c>
      <c r="C138" s="98">
        <v>44480</v>
      </c>
      <c r="D138" s="77">
        <v>128129</v>
      </c>
      <c r="E138" s="77">
        <v>3527</v>
      </c>
      <c r="F138" s="77">
        <v>49521.440000000002</v>
      </c>
      <c r="G138" s="77">
        <v>1363.174</v>
      </c>
      <c r="H138" s="77">
        <v>713463</v>
      </c>
      <c r="I138" s="77">
        <v>3.6999999999999998E-2</v>
      </c>
      <c r="J138" s="77">
        <v>472404</v>
      </c>
      <c r="K138" s="77">
        <v>276431</v>
      </c>
      <c r="L138" s="77">
        <v>195973</v>
      </c>
      <c r="M138" s="77">
        <v>2587344</v>
      </c>
      <c r="N138" s="77">
        <v>3.0779999999999998</v>
      </c>
      <c r="O138" s="77">
        <v>22</v>
      </c>
      <c r="P138" s="77">
        <v>3.552</v>
      </c>
      <c r="Q138" s="77">
        <v>2.085</v>
      </c>
      <c r="R138" s="77">
        <v>9541.8080000000009</v>
      </c>
    </row>
    <row r="139" spans="1:18">
      <c r="A139" s="77" t="s">
        <v>145</v>
      </c>
      <c r="B139" s="77" t="s">
        <v>288</v>
      </c>
      <c r="C139" s="98">
        <v>44480</v>
      </c>
      <c r="D139" s="77">
        <v>802861</v>
      </c>
      <c r="E139" s="77">
        <v>11243</v>
      </c>
      <c r="F139" s="77">
        <v>27055.204000000002</v>
      </c>
      <c r="G139" s="77">
        <v>378.87200000000001</v>
      </c>
      <c r="H139" s="77">
        <v>4256803</v>
      </c>
      <c r="I139" s="77">
        <v>9.0999999999999998E-2</v>
      </c>
      <c r="J139" s="77">
        <v>14780678</v>
      </c>
      <c r="K139" s="77">
        <v>8317902</v>
      </c>
      <c r="L139" s="77">
        <v>6462776</v>
      </c>
      <c r="M139" s="77">
        <v>29674920</v>
      </c>
      <c r="N139" s="77">
        <v>204.43</v>
      </c>
      <c r="O139" s="77">
        <v>25</v>
      </c>
      <c r="P139" s="77">
        <v>5.8090000000000002</v>
      </c>
      <c r="Q139" s="77">
        <v>3.2120000000000002</v>
      </c>
      <c r="R139" s="77">
        <v>2442.8040000000001</v>
      </c>
    </row>
    <row r="140" spans="1:18">
      <c r="A140" s="77" t="s">
        <v>147</v>
      </c>
      <c r="B140" s="77" t="s">
        <v>289</v>
      </c>
      <c r="C140" s="98">
        <v>44480</v>
      </c>
      <c r="D140" s="77">
        <v>2065511</v>
      </c>
      <c r="E140" s="77">
        <v>18635</v>
      </c>
      <c r="F140" s="77">
        <v>120275.997</v>
      </c>
      <c r="G140" s="77">
        <v>1085.1279999999999</v>
      </c>
      <c r="H140" s="77">
        <v>13409992</v>
      </c>
      <c r="I140" s="77">
        <v>6.3E-2</v>
      </c>
      <c r="J140" s="77">
        <v>23698483</v>
      </c>
      <c r="K140" s="77">
        <v>12876117</v>
      </c>
      <c r="L140" s="77">
        <v>11605975</v>
      </c>
      <c r="M140" s="77">
        <v>17173094</v>
      </c>
      <c r="N140" s="77">
        <v>508.54399999999998</v>
      </c>
      <c r="O140" s="77">
        <v>43.2</v>
      </c>
      <c r="P140" s="77">
        <v>18.779</v>
      </c>
      <c r="Q140" s="77">
        <v>11.881</v>
      </c>
      <c r="R140" s="77">
        <v>48472.544999999998</v>
      </c>
    </row>
    <row r="141" spans="1:18">
      <c r="A141" s="77" t="s">
        <v>160</v>
      </c>
      <c r="B141" s="77" t="s">
        <v>290</v>
      </c>
      <c r="C141" s="98">
        <v>44474</v>
      </c>
      <c r="J141" s="77">
        <v>251551</v>
      </c>
      <c r="K141" s="77">
        <v>153060</v>
      </c>
      <c r="L141" s="77">
        <v>98491</v>
      </c>
      <c r="M141" s="77">
        <v>288217</v>
      </c>
      <c r="N141" s="77">
        <v>15.342000000000001</v>
      </c>
      <c r="O141" s="77">
        <v>33.4</v>
      </c>
      <c r="P141" s="77">
        <v>9.9540000000000006</v>
      </c>
      <c r="Q141" s="77">
        <v>6.4889999999999999</v>
      </c>
    </row>
    <row r="142" spans="1:18">
      <c r="A142" s="77" t="s">
        <v>160</v>
      </c>
      <c r="B142" s="77" t="s">
        <v>291</v>
      </c>
      <c r="C142" s="98">
        <v>44480</v>
      </c>
      <c r="D142" s="77">
        <v>4705</v>
      </c>
      <c r="E142" s="77">
        <v>28</v>
      </c>
      <c r="F142" s="77">
        <v>967.97900000000004</v>
      </c>
      <c r="G142" s="77">
        <v>5.7610000000000001</v>
      </c>
      <c r="H142" s="77">
        <v>3602589</v>
      </c>
      <c r="I142" s="77">
        <v>2E-3</v>
      </c>
      <c r="J142" s="77">
        <v>5902104</v>
      </c>
      <c r="K142" s="77">
        <v>3463004</v>
      </c>
      <c r="L142" s="77">
        <v>2439100</v>
      </c>
      <c r="M142" s="77">
        <v>4860642</v>
      </c>
      <c r="N142" s="77">
        <v>18.206</v>
      </c>
      <c r="O142" s="77">
        <v>37.9</v>
      </c>
      <c r="P142" s="77">
        <v>15.321999999999999</v>
      </c>
      <c r="Q142" s="77">
        <v>9.7200000000000006</v>
      </c>
      <c r="R142" s="77">
        <v>36085.843000000001</v>
      </c>
    </row>
    <row r="143" spans="1:18">
      <c r="A143" s="77" t="s">
        <v>153</v>
      </c>
      <c r="B143" s="77" t="s">
        <v>292</v>
      </c>
      <c r="C143" s="98">
        <v>44480</v>
      </c>
      <c r="D143" s="77">
        <v>15134</v>
      </c>
      <c r="E143" s="77">
        <v>205</v>
      </c>
      <c r="F143" s="77">
        <v>2258.0039999999999</v>
      </c>
      <c r="G143" s="77">
        <v>30.585999999999999</v>
      </c>
      <c r="J143" s="77">
        <v>999990</v>
      </c>
      <c r="K143" s="77">
        <v>671784</v>
      </c>
      <c r="L143" s="77">
        <v>328206</v>
      </c>
      <c r="M143" s="77">
        <v>6702379</v>
      </c>
      <c r="N143" s="77">
        <v>51.667000000000002</v>
      </c>
      <c r="O143" s="77">
        <v>27.3</v>
      </c>
      <c r="P143" s="77">
        <v>5.4450000000000003</v>
      </c>
      <c r="Q143" s="77">
        <v>3.5190000000000001</v>
      </c>
      <c r="R143" s="77">
        <v>5321.4440000000004</v>
      </c>
    </row>
    <row r="144" spans="1:18">
      <c r="A144" s="77" t="s">
        <v>149</v>
      </c>
      <c r="B144" s="77" t="s">
        <v>293</v>
      </c>
      <c r="C144" s="98">
        <v>44480</v>
      </c>
      <c r="D144" s="77">
        <v>6115</v>
      </c>
      <c r="E144" s="77">
        <v>204</v>
      </c>
      <c r="F144" s="77">
        <v>243.327</v>
      </c>
      <c r="G144" s="77">
        <v>8.1180000000000003</v>
      </c>
      <c r="J144" s="77">
        <v>646086</v>
      </c>
      <c r="K144" s="77">
        <v>429471</v>
      </c>
      <c r="L144" s="77">
        <v>216615</v>
      </c>
      <c r="M144" s="77">
        <v>25130810</v>
      </c>
      <c r="N144" s="77">
        <v>16.954999999999998</v>
      </c>
      <c r="O144" s="77">
        <v>15.1</v>
      </c>
      <c r="P144" s="77">
        <v>2.5529999999999999</v>
      </c>
      <c r="Q144" s="77">
        <v>1.3779999999999999</v>
      </c>
      <c r="R144" s="77">
        <v>926</v>
      </c>
    </row>
    <row r="145" spans="1:18">
      <c r="A145" s="77" t="s">
        <v>149</v>
      </c>
      <c r="B145" s="77" t="s">
        <v>294</v>
      </c>
      <c r="C145" s="98">
        <v>44480</v>
      </c>
      <c r="D145" s="77">
        <v>207978</v>
      </c>
      <c r="E145" s="77">
        <v>2756</v>
      </c>
      <c r="F145" s="77">
        <v>983.80899999999997</v>
      </c>
      <c r="G145" s="77">
        <v>13.037000000000001</v>
      </c>
      <c r="H145" s="77">
        <v>3142971</v>
      </c>
      <c r="I145" s="77">
        <v>2.9000000000000001E-2</v>
      </c>
      <c r="J145" s="77">
        <v>7130171</v>
      </c>
      <c r="K145" s="77">
        <v>4963985</v>
      </c>
      <c r="L145" s="77">
        <v>2166186</v>
      </c>
      <c r="M145" s="77">
        <v>211400704</v>
      </c>
      <c r="N145" s="77">
        <v>209.58799999999999</v>
      </c>
      <c r="O145" s="77">
        <v>18.100000000000001</v>
      </c>
      <c r="P145" s="77">
        <v>2.7509999999999999</v>
      </c>
      <c r="Q145" s="77">
        <v>1.4470000000000001</v>
      </c>
      <c r="R145" s="77">
        <v>5338.4539999999997</v>
      </c>
    </row>
    <row r="146" spans="1:18">
      <c r="B146" s="77" t="s">
        <v>153</v>
      </c>
      <c r="C146" s="98">
        <v>44480</v>
      </c>
      <c r="D146" s="77">
        <v>53474030</v>
      </c>
      <c r="E146" s="77">
        <v>1084066</v>
      </c>
      <c r="F146" s="77">
        <v>89634.106</v>
      </c>
      <c r="G146" s="77">
        <v>1817.13</v>
      </c>
      <c r="J146" s="77">
        <v>638851988</v>
      </c>
      <c r="K146" s="77">
        <v>350483642</v>
      </c>
      <c r="L146" s="77">
        <v>289888363</v>
      </c>
      <c r="M146" s="77">
        <v>596581283</v>
      </c>
    </row>
    <row r="147" spans="1:18">
      <c r="A147" s="77" t="s">
        <v>147</v>
      </c>
      <c r="B147" s="77" t="s">
        <v>295</v>
      </c>
      <c r="C147" s="98">
        <v>44480</v>
      </c>
      <c r="D147" s="77">
        <v>195002</v>
      </c>
      <c r="E147" s="77">
        <v>6849</v>
      </c>
      <c r="F147" s="77">
        <v>93631.176999999996</v>
      </c>
      <c r="G147" s="77">
        <v>3288.5810000000001</v>
      </c>
      <c r="J147" s="77">
        <v>1544531</v>
      </c>
      <c r="K147" s="77">
        <v>795968</v>
      </c>
      <c r="L147" s="77">
        <v>748563</v>
      </c>
      <c r="M147" s="77">
        <v>2082661</v>
      </c>
      <c r="N147" s="77">
        <v>82.6</v>
      </c>
      <c r="O147" s="77">
        <v>39.1</v>
      </c>
      <c r="P147" s="77">
        <v>13.26</v>
      </c>
      <c r="Q147" s="77">
        <v>8.16</v>
      </c>
      <c r="R147" s="77">
        <v>13111.214</v>
      </c>
    </row>
    <row r="148" spans="1:18">
      <c r="A148" s="77" t="s">
        <v>147</v>
      </c>
      <c r="B148" s="77" t="s">
        <v>296</v>
      </c>
      <c r="C148" s="98">
        <v>44480</v>
      </c>
      <c r="D148" s="77">
        <v>193734</v>
      </c>
      <c r="E148" s="77">
        <v>871</v>
      </c>
      <c r="F148" s="77">
        <v>35445.875</v>
      </c>
      <c r="G148" s="77">
        <v>159.36000000000001</v>
      </c>
      <c r="H148" s="77">
        <v>7864561</v>
      </c>
      <c r="I148" s="77">
        <v>4.9000000000000002E-2</v>
      </c>
      <c r="J148" s="77">
        <v>7874383</v>
      </c>
      <c r="K148" s="77">
        <v>4183502</v>
      </c>
      <c r="L148" s="77">
        <v>3690881</v>
      </c>
      <c r="M148" s="77">
        <v>5465629</v>
      </c>
      <c r="N148" s="77">
        <v>14.462</v>
      </c>
      <c r="O148" s="77">
        <v>39.700000000000003</v>
      </c>
      <c r="P148" s="77">
        <v>16.821000000000002</v>
      </c>
      <c r="Q148" s="77">
        <v>10.813000000000001</v>
      </c>
      <c r="R148" s="77">
        <v>64800.057000000001</v>
      </c>
    </row>
    <row r="149" spans="1:18">
      <c r="B149" s="77" t="s">
        <v>160</v>
      </c>
      <c r="C149" s="98">
        <v>44480</v>
      </c>
      <c r="D149" s="77">
        <v>210720</v>
      </c>
      <c r="E149" s="77">
        <v>2388</v>
      </c>
      <c r="F149" s="77">
        <v>4875.5259999999998</v>
      </c>
      <c r="G149" s="77">
        <v>55.252000000000002</v>
      </c>
      <c r="J149" s="77">
        <v>39278629</v>
      </c>
      <c r="K149" s="77">
        <v>22691197</v>
      </c>
      <c r="L149" s="77">
        <v>16587432</v>
      </c>
      <c r="M149" s="77">
        <v>43219954</v>
      </c>
    </row>
    <row r="150" spans="1:18">
      <c r="A150" s="77" t="s">
        <v>145</v>
      </c>
      <c r="B150" s="77" t="s">
        <v>297</v>
      </c>
      <c r="C150" s="98">
        <v>44480</v>
      </c>
      <c r="D150" s="77">
        <v>303978</v>
      </c>
      <c r="E150" s="77">
        <v>4102</v>
      </c>
      <c r="F150" s="77">
        <v>58195.696000000004</v>
      </c>
      <c r="G150" s="77">
        <v>785.31600000000003</v>
      </c>
      <c r="J150" s="77">
        <v>5254466</v>
      </c>
      <c r="K150" s="77">
        <v>2959586</v>
      </c>
      <c r="L150" s="77">
        <v>2294880</v>
      </c>
      <c r="M150" s="77">
        <v>5223376</v>
      </c>
      <c r="N150" s="77">
        <v>14.98</v>
      </c>
      <c r="O150" s="77">
        <v>30.7</v>
      </c>
      <c r="P150" s="77">
        <v>2.355</v>
      </c>
      <c r="Q150" s="77">
        <v>1.53</v>
      </c>
      <c r="R150" s="77">
        <v>37960.709000000003</v>
      </c>
    </row>
    <row r="151" spans="1:18">
      <c r="A151" s="77" t="s">
        <v>145</v>
      </c>
      <c r="B151" s="77" t="s">
        <v>298</v>
      </c>
      <c r="C151" s="98">
        <v>44480</v>
      </c>
      <c r="D151" s="77">
        <v>1259648</v>
      </c>
      <c r="E151" s="77">
        <v>28152</v>
      </c>
      <c r="F151" s="77">
        <v>5593.4650000000001</v>
      </c>
      <c r="G151" s="77">
        <v>125.009</v>
      </c>
      <c r="H151" s="77">
        <v>19911021</v>
      </c>
      <c r="I151" s="77">
        <v>2.1999999999999999E-2</v>
      </c>
      <c r="J151" s="77">
        <v>92597193</v>
      </c>
      <c r="K151" s="77">
        <v>64463928</v>
      </c>
      <c r="L151" s="77">
        <v>34299139</v>
      </c>
      <c r="M151" s="77">
        <v>225199929</v>
      </c>
      <c r="N151" s="77">
        <v>255.57300000000001</v>
      </c>
      <c r="O151" s="77">
        <v>23.5</v>
      </c>
      <c r="P151" s="77">
        <v>4.4950000000000001</v>
      </c>
      <c r="Q151" s="77">
        <v>2.78</v>
      </c>
      <c r="R151" s="77">
        <v>5034.7079999999996</v>
      </c>
    </row>
    <row r="152" spans="1:18">
      <c r="A152" s="77" t="s">
        <v>160</v>
      </c>
      <c r="B152" s="77" t="s">
        <v>299</v>
      </c>
      <c r="C152" s="98">
        <v>44480</v>
      </c>
      <c r="D152" s="77">
        <v>5</v>
      </c>
      <c r="F152" s="77">
        <v>275.11799999999999</v>
      </c>
      <c r="M152" s="77">
        <v>18174</v>
      </c>
      <c r="N152" s="77">
        <v>47.237000000000002</v>
      </c>
      <c r="R152" s="77">
        <v>13240.405000000001</v>
      </c>
    </row>
    <row r="153" spans="1:18">
      <c r="A153" s="77" t="s">
        <v>145</v>
      </c>
      <c r="B153" s="77" t="s">
        <v>300</v>
      </c>
      <c r="C153" s="98">
        <v>44480</v>
      </c>
      <c r="D153" s="77">
        <v>443766</v>
      </c>
      <c r="E153" s="77">
        <v>4504</v>
      </c>
      <c r="F153" s="77">
        <v>84967.782999999996</v>
      </c>
      <c r="G153" s="77">
        <v>862.38</v>
      </c>
      <c r="I153" s="77">
        <v>0.77800000000000002</v>
      </c>
      <c r="J153" s="77">
        <v>2301812</v>
      </c>
      <c r="K153" s="77">
        <v>1416215</v>
      </c>
      <c r="L153" s="77">
        <v>1176037</v>
      </c>
      <c r="M153" s="77">
        <v>5222756</v>
      </c>
      <c r="N153" s="77">
        <v>778.202</v>
      </c>
      <c r="O153" s="77">
        <v>20.399999999999999</v>
      </c>
      <c r="P153" s="77">
        <v>3.0430000000000001</v>
      </c>
      <c r="Q153" s="77">
        <v>1.726</v>
      </c>
      <c r="R153" s="77">
        <v>4449.8980000000001</v>
      </c>
    </row>
    <row r="154" spans="1:18">
      <c r="A154" s="77" t="s">
        <v>153</v>
      </c>
      <c r="B154" s="77" t="s">
        <v>301</v>
      </c>
      <c r="C154" s="98">
        <v>44480</v>
      </c>
      <c r="D154" s="77">
        <v>469190</v>
      </c>
      <c r="E154" s="77">
        <v>7271</v>
      </c>
      <c r="F154" s="77">
        <v>107082.303</v>
      </c>
      <c r="G154" s="77">
        <v>1659.4459999999999</v>
      </c>
      <c r="H154" s="77">
        <v>3906709</v>
      </c>
      <c r="I154" s="77">
        <v>3.4000000000000002E-2</v>
      </c>
      <c r="J154" s="77">
        <v>5271936</v>
      </c>
      <c r="K154" s="77">
        <v>2951452</v>
      </c>
      <c r="L154" s="77">
        <v>2316857</v>
      </c>
      <c r="M154" s="77">
        <v>4381583</v>
      </c>
      <c r="N154" s="77">
        <v>55.133000000000003</v>
      </c>
      <c r="O154" s="77">
        <v>29.7</v>
      </c>
      <c r="P154" s="77">
        <v>7.9180000000000001</v>
      </c>
      <c r="Q154" s="77">
        <v>5.03</v>
      </c>
      <c r="R154" s="77">
        <v>22267.037</v>
      </c>
    </row>
    <row r="155" spans="1:18">
      <c r="A155" s="77" t="s">
        <v>160</v>
      </c>
      <c r="B155" s="77" t="s">
        <v>302</v>
      </c>
      <c r="C155" s="98">
        <v>44480</v>
      </c>
      <c r="D155" s="77">
        <v>23026</v>
      </c>
      <c r="E155" s="77">
        <v>245</v>
      </c>
      <c r="F155" s="77">
        <v>2525.056</v>
      </c>
      <c r="G155" s="77">
        <v>26.867000000000001</v>
      </c>
      <c r="J155" s="77">
        <v>194962</v>
      </c>
      <c r="K155" s="77">
        <v>133741</v>
      </c>
      <c r="L155" s="77">
        <v>61221</v>
      </c>
      <c r="M155" s="77">
        <v>9119005</v>
      </c>
      <c r="N155" s="77">
        <v>18.22</v>
      </c>
      <c r="O155" s="77">
        <v>22.6</v>
      </c>
      <c r="P155" s="77">
        <v>3.8079999999999998</v>
      </c>
      <c r="Q155" s="77">
        <v>2.1419999999999999</v>
      </c>
      <c r="R155" s="77">
        <v>3823.194</v>
      </c>
    </row>
    <row r="156" spans="1:18">
      <c r="A156" s="77" t="s">
        <v>156</v>
      </c>
      <c r="B156" s="77" t="s">
        <v>303</v>
      </c>
      <c r="C156" s="98">
        <v>44480</v>
      </c>
      <c r="D156" s="77">
        <v>460218</v>
      </c>
      <c r="E156" s="77">
        <v>16207</v>
      </c>
      <c r="F156" s="77">
        <v>63745.275000000001</v>
      </c>
      <c r="G156" s="77">
        <v>2244.848</v>
      </c>
      <c r="H156" s="77">
        <v>1846953</v>
      </c>
      <c r="I156" s="77">
        <v>1.2999999999999999E-2</v>
      </c>
      <c r="J156" s="77">
        <v>4836914</v>
      </c>
      <c r="K156" s="77">
        <v>2838640</v>
      </c>
      <c r="L156" s="77">
        <v>1998274</v>
      </c>
      <c r="M156" s="77">
        <v>7219641</v>
      </c>
      <c r="N156" s="77">
        <v>17.143999999999998</v>
      </c>
      <c r="O156" s="77">
        <v>26.5</v>
      </c>
      <c r="P156" s="77">
        <v>6.3780000000000001</v>
      </c>
      <c r="Q156" s="77">
        <v>3.8330000000000002</v>
      </c>
      <c r="R156" s="77">
        <v>8827.01</v>
      </c>
    </row>
    <row r="157" spans="1:18">
      <c r="A157" s="77" t="s">
        <v>156</v>
      </c>
      <c r="B157" s="77" t="s">
        <v>304</v>
      </c>
      <c r="C157" s="98">
        <v>44480</v>
      </c>
      <c r="D157" s="77">
        <v>2184676</v>
      </c>
      <c r="E157" s="77">
        <v>199703</v>
      </c>
      <c r="F157" s="77">
        <v>65489.038</v>
      </c>
      <c r="G157" s="77">
        <v>5986.4059999999999</v>
      </c>
      <c r="J157" s="77">
        <v>29511990</v>
      </c>
      <c r="K157" s="77">
        <v>16784075</v>
      </c>
      <c r="L157" s="77">
        <v>12727915</v>
      </c>
      <c r="M157" s="77">
        <v>33359415</v>
      </c>
      <c r="N157" s="77">
        <v>25.129000000000001</v>
      </c>
      <c r="O157" s="77">
        <v>29.1</v>
      </c>
      <c r="P157" s="77">
        <v>7.1509999999999998</v>
      </c>
      <c r="Q157" s="77">
        <v>4.4550000000000001</v>
      </c>
      <c r="R157" s="77">
        <v>12236.706</v>
      </c>
    </row>
    <row r="158" spans="1:18">
      <c r="A158" s="77" t="s">
        <v>145</v>
      </c>
      <c r="B158" s="77" t="s">
        <v>305</v>
      </c>
      <c r="C158" s="98">
        <v>44480</v>
      </c>
      <c r="D158" s="77">
        <v>2674814</v>
      </c>
      <c r="E158" s="77">
        <v>39660</v>
      </c>
      <c r="F158" s="77">
        <v>24087.243999999999</v>
      </c>
      <c r="G158" s="77">
        <v>357.14600000000002</v>
      </c>
      <c r="H158" s="77">
        <v>20507811</v>
      </c>
      <c r="I158" s="77">
        <v>0.19700000000000001</v>
      </c>
      <c r="J158" s="77">
        <v>50066590</v>
      </c>
      <c r="L158" s="77">
        <v>23360489</v>
      </c>
      <c r="M158" s="77">
        <v>111046910</v>
      </c>
      <c r="N158" s="77">
        <v>351.87299999999999</v>
      </c>
      <c r="O158" s="77">
        <v>25.2</v>
      </c>
      <c r="P158" s="77">
        <v>4.8029999999999999</v>
      </c>
      <c r="Q158" s="77">
        <v>2.661</v>
      </c>
      <c r="R158" s="77">
        <v>7599.1880000000001</v>
      </c>
    </row>
    <row r="159" spans="1:18">
      <c r="A159" s="77" t="s">
        <v>147</v>
      </c>
      <c r="B159" s="77" t="s">
        <v>306</v>
      </c>
      <c r="C159" s="98">
        <v>44480</v>
      </c>
      <c r="D159" s="77">
        <v>2923304</v>
      </c>
      <c r="E159" s="77">
        <v>75869</v>
      </c>
      <c r="F159" s="77">
        <v>77342.222999999998</v>
      </c>
      <c r="G159" s="77">
        <v>2007.2760000000001</v>
      </c>
      <c r="H159" s="77">
        <v>20707050</v>
      </c>
      <c r="I159" s="77">
        <v>3.5000000000000003E-2</v>
      </c>
      <c r="J159" s="77">
        <v>37666261</v>
      </c>
      <c r="K159" s="77">
        <v>19885124</v>
      </c>
      <c r="L159" s="77">
        <v>19540515</v>
      </c>
      <c r="M159" s="77">
        <v>37797000</v>
      </c>
      <c r="N159" s="77">
        <v>124.027</v>
      </c>
      <c r="O159" s="77">
        <v>41.8</v>
      </c>
      <c r="P159" s="77">
        <v>16.763000000000002</v>
      </c>
      <c r="Q159" s="77">
        <v>10.202</v>
      </c>
      <c r="R159" s="77">
        <v>27216.445</v>
      </c>
    </row>
    <row r="160" spans="1:18">
      <c r="A160" s="77" t="s">
        <v>147</v>
      </c>
      <c r="B160" s="77" t="s">
        <v>307</v>
      </c>
      <c r="C160" s="98">
        <v>44480</v>
      </c>
      <c r="D160" s="77">
        <v>1075639</v>
      </c>
      <c r="E160" s="77">
        <v>18048</v>
      </c>
      <c r="F160" s="77">
        <v>105787.485</v>
      </c>
      <c r="G160" s="77">
        <v>1774.9939999999999</v>
      </c>
      <c r="H160" s="77">
        <v>19023656</v>
      </c>
      <c r="I160" s="77">
        <v>1.6E-2</v>
      </c>
      <c r="J160" s="77">
        <v>16042424</v>
      </c>
      <c r="K160" s="77">
        <v>8957792</v>
      </c>
      <c r="L160" s="77">
        <v>8729560</v>
      </c>
      <c r="M160" s="77">
        <v>10167923</v>
      </c>
      <c r="N160" s="77">
        <v>112.371</v>
      </c>
      <c r="O160" s="77">
        <v>46.2</v>
      </c>
      <c r="P160" s="77">
        <v>21.501999999999999</v>
      </c>
      <c r="Q160" s="77">
        <v>14.923999999999999</v>
      </c>
      <c r="R160" s="77">
        <v>27936.896000000001</v>
      </c>
    </row>
    <row r="161" spans="1:18">
      <c r="A161" s="77" t="s">
        <v>145</v>
      </c>
      <c r="B161" s="77" t="s">
        <v>308</v>
      </c>
      <c r="C161" s="98">
        <v>44480</v>
      </c>
      <c r="D161" s="77">
        <v>237483</v>
      </c>
      <c r="E161" s="77">
        <v>607</v>
      </c>
      <c r="F161" s="77">
        <v>81037.725999999995</v>
      </c>
      <c r="G161" s="77">
        <v>207.13</v>
      </c>
      <c r="H161" s="77">
        <v>2723342</v>
      </c>
      <c r="J161" s="77">
        <v>4767210</v>
      </c>
      <c r="M161" s="77">
        <v>2930524</v>
      </c>
      <c r="N161" s="77">
        <v>227.322</v>
      </c>
      <c r="O161" s="77">
        <v>31.9</v>
      </c>
      <c r="P161" s="77">
        <v>1.3069999999999999</v>
      </c>
      <c r="Q161" s="77">
        <v>0.61699999999999999</v>
      </c>
      <c r="R161" s="77">
        <v>116935.6</v>
      </c>
    </row>
    <row r="162" spans="1:18">
      <c r="A162" s="77" t="s">
        <v>147</v>
      </c>
      <c r="B162" s="77" t="s">
        <v>309</v>
      </c>
      <c r="C162" s="98">
        <v>44480</v>
      </c>
      <c r="D162" s="77">
        <v>1365788</v>
      </c>
      <c r="E162" s="77">
        <v>39629</v>
      </c>
      <c r="F162" s="77">
        <v>71403.402000000002</v>
      </c>
      <c r="G162" s="77">
        <v>2071.8040000000001</v>
      </c>
      <c r="H162" s="77">
        <v>13294804</v>
      </c>
      <c r="I162" s="77">
        <v>0.223</v>
      </c>
      <c r="J162" s="77">
        <v>10763280</v>
      </c>
      <c r="K162" s="77">
        <v>6130679</v>
      </c>
      <c r="L162" s="77">
        <v>5531778</v>
      </c>
      <c r="M162" s="77">
        <v>19127772</v>
      </c>
      <c r="N162" s="77">
        <v>85.129000000000005</v>
      </c>
      <c r="O162" s="77">
        <v>43</v>
      </c>
      <c r="P162" s="77">
        <v>17.850000000000001</v>
      </c>
      <c r="Q162" s="77">
        <v>11.69</v>
      </c>
      <c r="R162" s="77">
        <v>23313.199000000001</v>
      </c>
    </row>
    <row r="163" spans="1:18">
      <c r="A163" s="77" t="s">
        <v>147</v>
      </c>
      <c r="B163" s="77" t="s">
        <v>310</v>
      </c>
      <c r="C163" s="98">
        <v>44480</v>
      </c>
      <c r="D163" s="77">
        <v>7687559</v>
      </c>
      <c r="E163" s="77">
        <v>213522</v>
      </c>
      <c r="F163" s="77">
        <v>52686.262000000002</v>
      </c>
      <c r="G163" s="77">
        <v>1463.3610000000001</v>
      </c>
      <c r="H163" s="99">
        <v>195638185</v>
      </c>
      <c r="I163" s="77">
        <v>4.9000000000000002E-2</v>
      </c>
      <c r="J163" s="77">
        <v>94671192</v>
      </c>
      <c r="K163" s="77">
        <v>49571462</v>
      </c>
      <c r="L163" s="77">
        <v>45099730</v>
      </c>
      <c r="M163" s="77">
        <v>145912022</v>
      </c>
      <c r="N163" s="77">
        <v>8.8230000000000004</v>
      </c>
      <c r="O163" s="77">
        <v>39.6</v>
      </c>
      <c r="P163" s="77">
        <v>14.178000000000001</v>
      </c>
      <c r="Q163" s="77">
        <v>9.3930000000000007</v>
      </c>
      <c r="R163" s="77">
        <v>24765.954000000002</v>
      </c>
    </row>
    <row r="164" spans="1:18">
      <c r="A164" s="77" t="s">
        <v>149</v>
      </c>
      <c r="B164" s="77" t="s">
        <v>311</v>
      </c>
      <c r="C164" s="98">
        <v>44480</v>
      </c>
      <c r="D164" s="77">
        <v>98745</v>
      </c>
      <c r="E164" s="77">
        <v>1308</v>
      </c>
      <c r="F164" s="77">
        <v>7437.5680000000002</v>
      </c>
      <c r="G164" s="77">
        <v>98.52</v>
      </c>
      <c r="H164" s="77">
        <v>2938657</v>
      </c>
      <c r="I164" s="77">
        <v>0.01</v>
      </c>
      <c r="J164" s="77">
        <v>3888869</v>
      </c>
      <c r="K164" s="77">
        <v>2192888</v>
      </c>
      <c r="L164" s="77">
        <v>1695981</v>
      </c>
      <c r="M164" s="77">
        <v>13276517</v>
      </c>
      <c r="N164" s="77">
        <v>494.86900000000003</v>
      </c>
      <c r="O164" s="77">
        <v>20.3</v>
      </c>
      <c r="P164" s="77">
        <v>2.9740000000000002</v>
      </c>
      <c r="Q164" s="77">
        <v>1.6419999999999999</v>
      </c>
      <c r="R164" s="77">
        <v>1854.211</v>
      </c>
    </row>
    <row r="165" spans="1:18">
      <c r="A165" s="77" t="s">
        <v>153</v>
      </c>
      <c r="B165" s="77" t="s">
        <v>312</v>
      </c>
      <c r="C165" s="98">
        <v>44480</v>
      </c>
      <c r="D165" s="77">
        <v>2412</v>
      </c>
      <c r="E165" s="77">
        <v>19</v>
      </c>
      <c r="F165" s="77">
        <v>45045.381999999998</v>
      </c>
      <c r="G165" s="77">
        <v>354.83499999999998</v>
      </c>
      <c r="H165" s="77">
        <v>46380</v>
      </c>
      <c r="I165" s="77">
        <v>0.105</v>
      </c>
      <c r="J165" s="77">
        <v>48755</v>
      </c>
      <c r="K165" s="77">
        <v>25946</v>
      </c>
      <c r="L165" s="77">
        <v>22809</v>
      </c>
      <c r="M165" s="77">
        <v>53546</v>
      </c>
      <c r="N165" s="77">
        <v>212.86500000000001</v>
      </c>
      <c r="R165" s="77">
        <v>24654.384999999998</v>
      </c>
    </row>
    <row r="166" spans="1:18">
      <c r="A166" s="77" t="s">
        <v>153</v>
      </c>
      <c r="B166" s="77" t="s">
        <v>313</v>
      </c>
      <c r="C166" s="98">
        <v>44480</v>
      </c>
      <c r="D166" s="77">
        <v>12017</v>
      </c>
      <c r="E166" s="77">
        <v>224</v>
      </c>
      <c r="F166" s="77">
        <v>65167.758999999998</v>
      </c>
      <c r="G166" s="77">
        <v>1214.7439999999999</v>
      </c>
      <c r="J166" s="77">
        <v>83448</v>
      </c>
      <c r="K166" s="77">
        <v>47703</v>
      </c>
      <c r="L166" s="77">
        <v>35745</v>
      </c>
      <c r="M166" s="77">
        <v>184401</v>
      </c>
      <c r="N166" s="77">
        <v>293.18700000000001</v>
      </c>
      <c r="O166" s="77">
        <v>34.9</v>
      </c>
      <c r="P166" s="77">
        <v>9.7210000000000001</v>
      </c>
      <c r="Q166" s="77">
        <v>6.4050000000000002</v>
      </c>
      <c r="R166" s="77">
        <v>12951.839</v>
      </c>
    </row>
    <row r="167" spans="1:18">
      <c r="A167" s="77" t="s">
        <v>153</v>
      </c>
      <c r="B167" s="77" t="s">
        <v>314</v>
      </c>
      <c r="C167" s="98">
        <v>44480</v>
      </c>
      <c r="D167" s="77">
        <v>4096</v>
      </c>
      <c r="E167" s="77">
        <v>38</v>
      </c>
      <c r="F167" s="77">
        <v>36811.690999999999</v>
      </c>
      <c r="G167" s="77">
        <v>341.51499999999999</v>
      </c>
      <c r="H167" s="77">
        <v>77176</v>
      </c>
      <c r="J167" s="77">
        <v>35118</v>
      </c>
      <c r="K167" s="77">
        <v>21336</v>
      </c>
      <c r="L167" s="77">
        <v>13782</v>
      </c>
      <c r="M167" s="77">
        <v>111269</v>
      </c>
      <c r="N167" s="77">
        <v>281.78699999999998</v>
      </c>
      <c r="O167" s="77">
        <v>31.8</v>
      </c>
      <c r="P167" s="77">
        <v>7.7240000000000002</v>
      </c>
      <c r="Q167" s="77">
        <v>4.8319999999999999</v>
      </c>
      <c r="R167" s="77">
        <v>10727.146000000001</v>
      </c>
    </row>
    <row r="168" spans="1:18">
      <c r="A168" s="77" t="s">
        <v>160</v>
      </c>
      <c r="B168" s="77" t="s">
        <v>315</v>
      </c>
      <c r="C168" s="98">
        <v>44480</v>
      </c>
      <c r="D168" s="77">
        <v>3</v>
      </c>
      <c r="F168" s="77">
        <v>14.989000000000001</v>
      </c>
      <c r="J168" s="77">
        <v>172316</v>
      </c>
      <c r="K168" s="77">
        <v>114698</v>
      </c>
      <c r="L168" s="77">
        <v>57618</v>
      </c>
      <c r="M168" s="77">
        <v>200144</v>
      </c>
      <c r="N168" s="77">
        <v>69.412999999999997</v>
      </c>
      <c r="O168" s="77">
        <v>22</v>
      </c>
      <c r="P168" s="77">
        <v>5.6059999999999999</v>
      </c>
      <c r="Q168" s="77">
        <v>3.5640000000000001</v>
      </c>
      <c r="R168" s="77">
        <v>6021.5569999999998</v>
      </c>
    </row>
    <row r="169" spans="1:18">
      <c r="A169" s="77" t="s">
        <v>147</v>
      </c>
      <c r="B169" s="77" t="s">
        <v>316</v>
      </c>
      <c r="C169" s="98">
        <v>44480</v>
      </c>
      <c r="D169" s="77">
        <v>5470</v>
      </c>
      <c r="E169" s="77">
        <v>91</v>
      </c>
      <c r="F169" s="77">
        <v>160835.049</v>
      </c>
      <c r="G169" s="77">
        <v>2675.6840000000002</v>
      </c>
      <c r="J169" s="77">
        <v>47100</v>
      </c>
      <c r="L169" s="77">
        <v>24440</v>
      </c>
      <c r="M169" s="77">
        <v>34010</v>
      </c>
      <c r="N169" s="77">
        <v>556.66700000000003</v>
      </c>
      <c r="R169" s="77">
        <v>56861.47</v>
      </c>
    </row>
    <row r="170" spans="1:18">
      <c r="A170" s="77" t="s">
        <v>149</v>
      </c>
      <c r="B170" s="77" t="s">
        <v>317</v>
      </c>
      <c r="C170" s="98">
        <v>44480</v>
      </c>
      <c r="D170" s="77">
        <v>3629</v>
      </c>
      <c r="E170" s="77">
        <v>56</v>
      </c>
      <c r="F170" s="77">
        <v>16247.022999999999</v>
      </c>
      <c r="G170" s="77">
        <v>250.71199999999999</v>
      </c>
      <c r="J170" s="77">
        <v>101065</v>
      </c>
      <c r="K170" s="77">
        <v>73554</v>
      </c>
      <c r="L170" s="77">
        <v>27511</v>
      </c>
      <c r="M170" s="77">
        <v>223364</v>
      </c>
      <c r="N170" s="77">
        <v>212.84100000000001</v>
      </c>
      <c r="O170" s="77">
        <v>18.7</v>
      </c>
      <c r="P170" s="77">
        <v>2.8860000000000001</v>
      </c>
      <c r="Q170" s="77">
        <v>2.1619999999999999</v>
      </c>
      <c r="R170" s="77">
        <v>3052.7139999999999</v>
      </c>
    </row>
    <row r="171" spans="1:18">
      <c r="A171" s="77" t="s">
        <v>145</v>
      </c>
      <c r="B171" s="77" t="s">
        <v>318</v>
      </c>
      <c r="C171" s="98">
        <v>44480</v>
      </c>
      <c r="D171" s="77">
        <v>547649</v>
      </c>
      <c r="E171" s="77">
        <v>8748</v>
      </c>
      <c r="F171" s="77">
        <v>15496.278</v>
      </c>
      <c r="G171" s="77">
        <v>247.53299999999999</v>
      </c>
      <c r="H171" s="77">
        <v>29430910</v>
      </c>
      <c r="I171" s="77">
        <v>1E-3</v>
      </c>
      <c r="J171" s="77">
        <v>43852647</v>
      </c>
      <c r="K171" s="77">
        <v>23731270</v>
      </c>
      <c r="L171" s="77">
        <v>20121377</v>
      </c>
      <c r="M171" s="77">
        <v>35340680</v>
      </c>
      <c r="N171" s="77">
        <v>15.321999999999999</v>
      </c>
      <c r="O171" s="77">
        <v>31.9</v>
      </c>
      <c r="P171" s="77">
        <v>3.2949999999999999</v>
      </c>
      <c r="Q171" s="77">
        <v>1.845</v>
      </c>
      <c r="R171" s="77">
        <v>49045.411</v>
      </c>
    </row>
    <row r="172" spans="1:18">
      <c r="A172" s="77" t="s">
        <v>149</v>
      </c>
      <c r="B172" s="77" t="s">
        <v>319</v>
      </c>
      <c r="C172" s="98">
        <v>44480</v>
      </c>
      <c r="D172" s="77">
        <v>73841</v>
      </c>
      <c r="E172" s="77">
        <v>1868</v>
      </c>
      <c r="F172" s="77">
        <v>4294.0029999999997</v>
      </c>
      <c r="G172" s="77">
        <v>108.628</v>
      </c>
      <c r="H172" s="77">
        <v>828629</v>
      </c>
      <c r="I172" s="77">
        <v>3.0000000000000001E-3</v>
      </c>
      <c r="J172" s="77">
        <v>1828842</v>
      </c>
      <c r="K172" s="77">
        <v>1263844</v>
      </c>
      <c r="L172" s="77">
        <v>564998</v>
      </c>
      <c r="M172" s="77">
        <v>17196308</v>
      </c>
      <c r="N172" s="77">
        <v>82.328000000000003</v>
      </c>
      <c r="O172" s="77">
        <v>18.7</v>
      </c>
      <c r="P172" s="77">
        <v>3.008</v>
      </c>
      <c r="Q172" s="77">
        <v>1.796</v>
      </c>
      <c r="R172" s="77">
        <v>2470.58</v>
      </c>
    </row>
    <row r="173" spans="1:18">
      <c r="A173" s="77" t="s">
        <v>147</v>
      </c>
      <c r="B173" s="77" t="s">
        <v>320</v>
      </c>
      <c r="C173" s="98">
        <v>44480</v>
      </c>
      <c r="D173" s="77">
        <v>1010868</v>
      </c>
      <c r="E173" s="77">
        <v>8788</v>
      </c>
      <c r="F173" s="77">
        <v>146328.20199999999</v>
      </c>
      <c r="G173" s="77">
        <v>1272.107</v>
      </c>
      <c r="H173" s="77">
        <v>5874429</v>
      </c>
      <c r="I173" s="77">
        <v>0.29799999999999999</v>
      </c>
      <c r="J173" s="77">
        <v>6655878</v>
      </c>
      <c r="K173" s="77">
        <v>3061127</v>
      </c>
      <c r="L173" s="77">
        <v>2929468</v>
      </c>
      <c r="M173" s="77">
        <v>6908224</v>
      </c>
      <c r="N173" s="77">
        <v>80.290999999999997</v>
      </c>
      <c r="O173" s="77">
        <v>41.2</v>
      </c>
      <c r="P173" s="77">
        <v>17.366</v>
      </c>
      <c r="R173" s="77">
        <v>14048.880999999999</v>
      </c>
    </row>
    <row r="174" spans="1:18">
      <c r="A174" s="77" t="s">
        <v>149</v>
      </c>
      <c r="B174" s="77" t="s">
        <v>321</v>
      </c>
      <c r="C174" s="98">
        <v>44480</v>
      </c>
      <c r="D174" s="77">
        <v>21769</v>
      </c>
      <c r="E174" s="77">
        <v>118</v>
      </c>
      <c r="F174" s="77">
        <v>220088.97</v>
      </c>
      <c r="G174" s="77">
        <v>1193.0039999999999</v>
      </c>
      <c r="M174" s="77">
        <v>98910</v>
      </c>
      <c r="N174" s="77">
        <v>208.35400000000001</v>
      </c>
      <c r="O174" s="77">
        <v>36.200000000000003</v>
      </c>
      <c r="P174" s="77">
        <v>8.6059999999999999</v>
      </c>
      <c r="Q174" s="77">
        <v>5.5860000000000003</v>
      </c>
      <c r="R174" s="77">
        <v>26382.287</v>
      </c>
    </row>
    <row r="175" spans="1:18">
      <c r="A175" s="77" t="s">
        <v>149</v>
      </c>
      <c r="B175" s="77" t="s">
        <v>322</v>
      </c>
      <c r="C175" s="98">
        <v>44480</v>
      </c>
      <c r="D175" s="77">
        <v>6396</v>
      </c>
      <c r="E175" s="77">
        <v>121</v>
      </c>
      <c r="F175" s="77">
        <v>785.62</v>
      </c>
      <c r="G175" s="77">
        <v>14.862</v>
      </c>
      <c r="J175" s="77">
        <v>236465</v>
      </c>
      <c r="K175" s="77">
        <v>192558</v>
      </c>
      <c r="L175" s="77">
        <v>43907</v>
      </c>
      <c r="M175" s="77">
        <v>8141343</v>
      </c>
      <c r="N175" s="77">
        <v>104.7</v>
      </c>
      <c r="O175" s="77">
        <v>19.100000000000001</v>
      </c>
      <c r="P175" s="77">
        <v>2.5379999999999998</v>
      </c>
      <c r="Q175" s="77">
        <v>1.2849999999999999</v>
      </c>
      <c r="R175" s="77">
        <v>1390.3</v>
      </c>
    </row>
    <row r="176" spans="1:18">
      <c r="A176" s="77" t="s">
        <v>145</v>
      </c>
      <c r="B176" s="77" t="s">
        <v>323</v>
      </c>
      <c r="C176" s="98">
        <v>44480</v>
      </c>
      <c r="D176" s="77">
        <v>129229</v>
      </c>
      <c r="E176" s="77">
        <v>172</v>
      </c>
      <c r="F176" s="77">
        <v>21915.538</v>
      </c>
      <c r="G176" s="77">
        <v>29.169</v>
      </c>
      <c r="H176" s="77">
        <v>20436387</v>
      </c>
      <c r="I176" s="77">
        <v>5.3999999999999999E-2</v>
      </c>
      <c r="J176" s="77">
        <v>9670942</v>
      </c>
      <c r="K176" s="77">
        <v>4716546</v>
      </c>
      <c r="L176" s="77">
        <v>4605568</v>
      </c>
      <c r="M176" s="77">
        <v>5896684</v>
      </c>
      <c r="N176" s="77">
        <v>7915.7309999999998</v>
      </c>
      <c r="O176" s="77">
        <v>42.4</v>
      </c>
      <c r="P176" s="77">
        <v>12.922000000000001</v>
      </c>
      <c r="Q176" s="77">
        <v>7.0490000000000004</v>
      </c>
      <c r="R176" s="77">
        <v>85535.383000000002</v>
      </c>
    </row>
    <row r="177" spans="1:18">
      <c r="A177" s="77" t="s">
        <v>153</v>
      </c>
      <c r="B177" s="77" t="s">
        <v>324</v>
      </c>
      <c r="C177" s="98">
        <v>44477</v>
      </c>
      <c r="J177" s="77">
        <v>50118</v>
      </c>
      <c r="K177" s="77">
        <v>26059</v>
      </c>
      <c r="L177" s="77">
        <v>24059</v>
      </c>
      <c r="M177" s="77">
        <v>43421</v>
      </c>
      <c r="N177" s="77">
        <v>1209.088</v>
      </c>
      <c r="R177" s="77">
        <v>36327.232000000004</v>
      </c>
    </row>
    <row r="178" spans="1:18">
      <c r="A178" s="77" t="s">
        <v>147</v>
      </c>
      <c r="B178" s="77" t="s">
        <v>325</v>
      </c>
      <c r="C178" s="98">
        <v>44480</v>
      </c>
      <c r="D178" s="77">
        <v>425971</v>
      </c>
      <c r="E178" s="77">
        <v>12735</v>
      </c>
      <c r="F178" s="77">
        <v>78006.293999999994</v>
      </c>
      <c r="G178" s="77">
        <v>2332.107</v>
      </c>
      <c r="H178" s="77">
        <v>42271380</v>
      </c>
      <c r="I178" s="77">
        <v>5.6000000000000001E-2</v>
      </c>
      <c r="J178" s="77">
        <v>4745132</v>
      </c>
      <c r="K178" s="77">
        <v>2471274</v>
      </c>
      <c r="L178" s="77">
        <v>2273858</v>
      </c>
      <c r="M178" s="77">
        <v>5460726</v>
      </c>
      <c r="N178" s="77">
        <v>113.128</v>
      </c>
      <c r="O178" s="77">
        <v>41.2</v>
      </c>
      <c r="P178" s="77">
        <v>15.07</v>
      </c>
      <c r="Q178" s="77">
        <v>9.1669999999999998</v>
      </c>
      <c r="R178" s="77">
        <v>30155.151999999998</v>
      </c>
    </row>
    <row r="179" spans="1:18">
      <c r="A179" s="77" t="s">
        <v>147</v>
      </c>
      <c r="B179" s="77" t="s">
        <v>326</v>
      </c>
      <c r="C179" s="98">
        <v>44480</v>
      </c>
      <c r="D179" s="77">
        <v>301644</v>
      </c>
      <c r="E179" s="77">
        <v>4617</v>
      </c>
      <c r="F179" s="77">
        <v>145110.24299999999</v>
      </c>
      <c r="G179" s="77">
        <v>2221.0749999999998</v>
      </c>
      <c r="H179" s="77">
        <v>1626242</v>
      </c>
      <c r="I179" s="77">
        <v>0.19600000000000001</v>
      </c>
      <c r="J179" s="77">
        <v>2182831</v>
      </c>
      <c r="K179" s="77">
        <v>1135716</v>
      </c>
      <c r="L179" s="77">
        <v>1047115</v>
      </c>
      <c r="M179" s="77">
        <v>2078723</v>
      </c>
      <c r="N179" s="77">
        <v>102.619</v>
      </c>
      <c r="O179" s="77">
        <v>44.5</v>
      </c>
      <c r="P179" s="77">
        <v>19.062000000000001</v>
      </c>
      <c r="Q179" s="77">
        <v>12.93</v>
      </c>
      <c r="R179" s="77">
        <v>31400.84</v>
      </c>
    </row>
    <row r="180" spans="1:18">
      <c r="A180" s="77" t="s">
        <v>160</v>
      </c>
      <c r="B180" s="77" t="s">
        <v>327</v>
      </c>
      <c r="C180" s="98">
        <v>44480</v>
      </c>
      <c r="D180" s="77">
        <v>20</v>
      </c>
      <c r="F180" s="77">
        <v>28.408999999999999</v>
      </c>
      <c r="J180" s="77">
        <v>130204</v>
      </c>
      <c r="K180" s="77">
        <v>104760</v>
      </c>
      <c r="L180" s="77">
        <v>25444</v>
      </c>
      <c r="M180" s="77">
        <v>703995</v>
      </c>
      <c r="N180" s="77">
        <v>21.841000000000001</v>
      </c>
      <c r="O180" s="77">
        <v>20.8</v>
      </c>
      <c r="P180" s="77">
        <v>3.5070000000000001</v>
      </c>
      <c r="Q180" s="77">
        <v>2.0430000000000001</v>
      </c>
      <c r="R180" s="77">
        <v>2205.9229999999998</v>
      </c>
    </row>
    <row r="181" spans="1:18">
      <c r="A181" s="77" t="s">
        <v>149</v>
      </c>
      <c r="B181" s="77" t="s">
        <v>328</v>
      </c>
      <c r="C181" s="98">
        <v>44480</v>
      </c>
      <c r="D181" s="77">
        <v>21269</v>
      </c>
      <c r="E181" s="77">
        <v>1180</v>
      </c>
      <c r="F181" s="77">
        <v>1300.1010000000001</v>
      </c>
      <c r="G181" s="77">
        <v>72.129000000000005</v>
      </c>
      <c r="J181" s="77">
        <v>542501</v>
      </c>
      <c r="K181" s="77">
        <v>297741</v>
      </c>
      <c r="L181" s="77">
        <v>244760</v>
      </c>
      <c r="M181" s="77">
        <v>16359500</v>
      </c>
      <c r="N181" s="77">
        <v>23.5</v>
      </c>
      <c r="O181" s="77">
        <v>16.8</v>
      </c>
      <c r="P181" s="77">
        <v>2.7309999999999999</v>
      </c>
      <c r="Q181" s="77">
        <v>1.496</v>
      </c>
    </row>
    <row r="182" spans="1:18">
      <c r="A182" s="77" t="s">
        <v>149</v>
      </c>
      <c r="B182" s="77" t="s">
        <v>329</v>
      </c>
      <c r="C182" s="98">
        <v>44480</v>
      </c>
      <c r="D182" s="77">
        <v>2912346</v>
      </c>
      <c r="E182" s="77">
        <v>88346</v>
      </c>
      <c r="F182" s="77">
        <v>48505.15</v>
      </c>
      <c r="G182" s="77">
        <v>1471.403</v>
      </c>
      <c r="H182" s="77">
        <v>17864698</v>
      </c>
      <c r="I182" s="77">
        <v>4.5999999999999999E-2</v>
      </c>
      <c r="J182" s="77">
        <v>19041535</v>
      </c>
      <c r="K182" s="77">
        <v>13466577</v>
      </c>
      <c r="L182" s="77">
        <v>9911989</v>
      </c>
      <c r="M182" s="77">
        <v>60041996</v>
      </c>
      <c r="N182" s="77">
        <v>46.753999999999998</v>
      </c>
      <c r="O182" s="77">
        <v>27.3</v>
      </c>
      <c r="P182" s="77">
        <v>5.3440000000000003</v>
      </c>
      <c r="Q182" s="77">
        <v>3.0529999999999999</v>
      </c>
      <c r="R182" s="77">
        <v>12294.876</v>
      </c>
    </row>
    <row r="183" spans="1:18">
      <c r="A183" s="77" t="s">
        <v>145</v>
      </c>
      <c r="B183" s="77" t="s">
        <v>330</v>
      </c>
      <c r="C183" s="98">
        <v>44480</v>
      </c>
      <c r="D183" s="77">
        <v>334163</v>
      </c>
      <c r="E183" s="77">
        <v>2594</v>
      </c>
      <c r="F183" s="77">
        <v>6513.24</v>
      </c>
      <c r="G183" s="77">
        <v>50.56</v>
      </c>
      <c r="H183" s="77">
        <v>13721674</v>
      </c>
      <c r="I183" s="77">
        <v>5.3999999999999999E-2</v>
      </c>
      <c r="J183" s="77">
        <v>69161152</v>
      </c>
      <c r="K183" s="77">
        <v>40014733</v>
      </c>
      <c r="L183" s="77">
        <v>30606048</v>
      </c>
      <c r="M183" s="77">
        <v>51305184</v>
      </c>
      <c r="N183" s="77">
        <v>527.96699999999998</v>
      </c>
      <c r="O183" s="77">
        <v>43.4</v>
      </c>
      <c r="P183" s="77">
        <v>13.914</v>
      </c>
      <c r="Q183" s="77">
        <v>8.6219999999999999</v>
      </c>
      <c r="R183" s="77">
        <v>35938.374000000003</v>
      </c>
    </row>
    <row r="184" spans="1:18">
      <c r="A184" s="77" t="s">
        <v>149</v>
      </c>
      <c r="B184" s="77" t="s">
        <v>331</v>
      </c>
      <c r="C184" s="98">
        <v>44480</v>
      </c>
      <c r="D184" s="77">
        <v>12114</v>
      </c>
      <c r="E184" s="77">
        <v>130</v>
      </c>
      <c r="F184" s="77">
        <v>1064.3699999999999</v>
      </c>
      <c r="G184" s="77">
        <v>11.422000000000001</v>
      </c>
      <c r="J184" s="77">
        <v>113013</v>
      </c>
      <c r="K184" s="77">
        <v>81061</v>
      </c>
      <c r="L184" s="77">
        <v>31952</v>
      </c>
      <c r="M184" s="77">
        <v>11381377</v>
      </c>
      <c r="O184" s="77">
        <v>19.2</v>
      </c>
      <c r="P184" s="77">
        <v>3.4409999999999998</v>
      </c>
      <c r="Q184" s="77">
        <v>2.032</v>
      </c>
      <c r="R184" s="77">
        <v>1569.8879999999999</v>
      </c>
    </row>
    <row r="185" spans="1:18">
      <c r="A185" s="77" t="s">
        <v>147</v>
      </c>
      <c r="B185" s="77" t="s">
        <v>332</v>
      </c>
      <c r="C185" s="98">
        <v>44480</v>
      </c>
      <c r="D185" s="77">
        <v>4977448</v>
      </c>
      <c r="E185" s="77">
        <v>86827</v>
      </c>
      <c r="F185" s="77">
        <v>106480.38400000001</v>
      </c>
      <c r="G185" s="77">
        <v>1857.452</v>
      </c>
      <c r="H185" s="77">
        <v>59314343</v>
      </c>
      <c r="I185" s="77">
        <v>2.4E-2</v>
      </c>
      <c r="J185" s="77">
        <v>70822813</v>
      </c>
      <c r="K185" s="77">
        <v>37816635</v>
      </c>
      <c r="L185" s="77">
        <v>36937743</v>
      </c>
      <c r="M185" s="77">
        <v>46745211</v>
      </c>
      <c r="N185" s="77">
        <v>93.105000000000004</v>
      </c>
      <c r="O185" s="77">
        <v>45.5</v>
      </c>
      <c r="P185" s="77">
        <v>19.436</v>
      </c>
      <c r="Q185" s="77">
        <v>13.798999999999999</v>
      </c>
      <c r="R185" s="77">
        <v>34272.36</v>
      </c>
    </row>
    <row r="186" spans="1:18">
      <c r="A186" s="77" t="s">
        <v>145</v>
      </c>
      <c r="B186" s="77" t="s">
        <v>333</v>
      </c>
      <c r="C186" s="98">
        <v>44480</v>
      </c>
      <c r="D186" s="77">
        <v>527064</v>
      </c>
      <c r="E186" s="77">
        <v>13354</v>
      </c>
      <c r="F186" s="77">
        <v>24517.677</v>
      </c>
      <c r="G186" s="77">
        <v>621.19399999999996</v>
      </c>
      <c r="H186" s="77">
        <v>5355028</v>
      </c>
      <c r="I186" s="77">
        <v>0.13400000000000001</v>
      </c>
      <c r="J186" s="77">
        <v>27102057</v>
      </c>
      <c r="K186" s="77">
        <v>14703606</v>
      </c>
      <c r="L186" s="77">
        <v>12398451</v>
      </c>
      <c r="M186" s="77">
        <v>21497306</v>
      </c>
      <c r="N186" s="77">
        <v>341.95499999999998</v>
      </c>
      <c r="O186" s="77">
        <v>34.1</v>
      </c>
      <c r="P186" s="77">
        <v>10.069000000000001</v>
      </c>
      <c r="Q186" s="77">
        <v>5.3310000000000004</v>
      </c>
      <c r="R186" s="77">
        <v>11669.076999999999</v>
      </c>
    </row>
    <row r="187" spans="1:18">
      <c r="A187" s="77" t="s">
        <v>149</v>
      </c>
      <c r="B187" s="77" t="s">
        <v>334</v>
      </c>
      <c r="C187" s="98">
        <v>44480</v>
      </c>
      <c r="D187" s="77">
        <v>38827</v>
      </c>
      <c r="E187" s="77">
        <v>2953</v>
      </c>
      <c r="F187" s="77">
        <v>864.56399999999996</v>
      </c>
      <c r="G187" s="77">
        <v>65.754999999999995</v>
      </c>
      <c r="M187" s="77">
        <v>44909351</v>
      </c>
      <c r="N187" s="77">
        <v>23.257999999999999</v>
      </c>
      <c r="O187" s="77">
        <v>19.7</v>
      </c>
      <c r="P187" s="77">
        <v>3.548</v>
      </c>
      <c r="Q187" s="77">
        <v>2.0339999999999998</v>
      </c>
      <c r="R187" s="77">
        <v>4466.5069999999996</v>
      </c>
    </row>
    <row r="188" spans="1:18">
      <c r="A188" s="77" t="s">
        <v>156</v>
      </c>
      <c r="B188" s="77" t="s">
        <v>335</v>
      </c>
      <c r="C188" s="98">
        <v>44480</v>
      </c>
      <c r="D188" s="77">
        <v>44306</v>
      </c>
      <c r="E188" s="77">
        <v>968</v>
      </c>
      <c r="F188" s="77">
        <v>74866.762000000002</v>
      </c>
      <c r="G188" s="77">
        <v>1635.693</v>
      </c>
      <c r="J188" s="77">
        <v>417831</v>
      </c>
      <c r="K188" s="77">
        <v>237707</v>
      </c>
      <c r="L188" s="77">
        <v>180124</v>
      </c>
      <c r="M188" s="77">
        <v>591798</v>
      </c>
      <c r="N188" s="77">
        <v>3.6120000000000001</v>
      </c>
      <c r="O188" s="77">
        <v>29.6</v>
      </c>
      <c r="P188" s="77">
        <v>6.9329999999999998</v>
      </c>
      <c r="Q188" s="77">
        <v>4.2290000000000001</v>
      </c>
      <c r="R188" s="77">
        <v>13767.119000000001</v>
      </c>
    </row>
    <row r="189" spans="1:18">
      <c r="A189" s="77" t="s">
        <v>147</v>
      </c>
      <c r="B189" s="77" t="s">
        <v>336</v>
      </c>
      <c r="C189" s="98">
        <v>44480</v>
      </c>
      <c r="D189" s="77">
        <v>1157822</v>
      </c>
      <c r="E189" s="77">
        <v>14905</v>
      </c>
      <c r="F189" s="77">
        <v>113957.075</v>
      </c>
      <c r="G189" s="77">
        <v>1467.0050000000001</v>
      </c>
      <c r="I189" s="77">
        <v>0.03</v>
      </c>
      <c r="J189" s="77">
        <v>13965508</v>
      </c>
      <c r="K189" s="77">
        <v>7188306</v>
      </c>
      <c r="L189" s="77">
        <v>6721017</v>
      </c>
      <c r="M189" s="77">
        <v>10160159</v>
      </c>
      <c r="N189" s="77">
        <v>24.718</v>
      </c>
      <c r="O189" s="77">
        <v>41</v>
      </c>
      <c r="P189" s="77">
        <v>19.984999999999999</v>
      </c>
      <c r="Q189" s="77">
        <v>13.433</v>
      </c>
      <c r="R189" s="77">
        <v>46949.283000000003</v>
      </c>
    </row>
    <row r="190" spans="1:18">
      <c r="A190" s="77" t="s">
        <v>147</v>
      </c>
      <c r="B190" s="77" t="s">
        <v>337</v>
      </c>
      <c r="C190" s="98">
        <v>44480</v>
      </c>
      <c r="D190" s="77">
        <v>850684</v>
      </c>
      <c r="E190" s="77">
        <v>11133</v>
      </c>
      <c r="F190" s="77">
        <v>97605.941999999995</v>
      </c>
      <c r="G190" s="77">
        <v>1277.3800000000001</v>
      </c>
      <c r="H190" s="77">
        <v>10760244</v>
      </c>
      <c r="I190" s="77">
        <v>3.3000000000000002E-2</v>
      </c>
      <c r="J190" s="77">
        <v>10664254</v>
      </c>
      <c r="K190" s="77">
        <v>5606512</v>
      </c>
      <c r="L190" s="77">
        <v>5207485</v>
      </c>
      <c r="M190" s="77">
        <v>8715494</v>
      </c>
      <c r="N190" s="77">
        <v>214.24299999999999</v>
      </c>
      <c r="O190" s="77">
        <v>43.1</v>
      </c>
      <c r="P190" s="77">
        <v>18.436</v>
      </c>
      <c r="Q190" s="77">
        <v>12.644</v>
      </c>
      <c r="R190" s="77">
        <v>57410.165999999997</v>
      </c>
    </row>
    <row r="191" spans="1:18">
      <c r="A191" s="77" t="s">
        <v>145</v>
      </c>
      <c r="B191" s="77" t="s">
        <v>338</v>
      </c>
      <c r="C191" s="98">
        <v>44480</v>
      </c>
      <c r="D191" s="77">
        <v>37229</v>
      </c>
      <c r="E191" s="77">
        <v>2348</v>
      </c>
      <c r="F191" s="77">
        <v>2037.076</v>
      </c>
      <c r="G191" s="77">
        <v>128.477</v>
      </c>
      <c r="J191" s="77">
        <v>811852</v>
      </c>
      <c r="K191" s="77">
        <v>613263</v>
      </c>
      <c r="L191" s="77">
        <v>321276</v>
      </c>
      <c r="M191" s="77">
        <v>18275704</v>
      </c>
      <c r="O191" s="77">
        <v>21.7</v>
      </c>
      <c r="Q191" s="77">
        <v>2.577</v>
      </c>
    </row>
    <row r="192" spans="1:18">
      <c r="A192" s="77" t="s">
        <v>145</v>
      </c>
      <c r="B192" s="77" t="s">
        <v>339</v>
      </c>
      <c r="C192" s="98">
        <v>44480</v>
      </c>
      <c r="D192" s="77">
        <v>16305</v>
      </c>
      <c r="E192" s="77">
        <v>846</v>
      </c>
      <c r="F192" s="77">
        <v>683.50400000000002</v>
      </c>
      <c r="G192" s="77">
        <v>35.463999999999999</v>
      </c>
      <c r="H192" s="77">
        <v>3619373</v>
      </c>
      <c r="I192" s="77">
        <v>0</v>
      </c>
      <c r="J192" s="77">
        <v>18240856</v>
      </c>
      <c r="K192" s="77">
        <v>13759882</v>
      </c>
      <c r="L192" s="77">
        <v>4480974</v>
      </c>
      <c r="M192" s="77">
        <v>23855008</v>
      </c>
      <c r="O192" s="77">
        <v>42.2</v>
      </c>
      <c r="Q192" s="77">
        <v>8.3529999999999998</v>
      </c>
    </row>
    <row r="193" spans="1:18">
      <c r="A193" s="77" t="s">
        <v>145</v>
      </c>
      <c r="B193" s="77" t="s">
        <v>340</v>
      </c>
      <c r="C193" s="98">
        <v>44480</v>
      </c>
      <c r="D193" s="77">
        <v>17484</v>
      </c>
      <c r="E193" s="77">
        <v>125</v>
      </c>
      <c r="F193" s="77">
        <v>1793.3</v>
      </c>
      <c r="G193" s="77">
        <v>12.821</v>
      </c>
      <c r="J193" s="77">
        <v>4362853</v>
      </c>
      <c r="K193" s="77">
        <v>2464077</v>
      </c>
      <c r="L193" s="77">
        <v>1898776</v>
      </c>
      <c r="M193" s="77">
        <v>9749625</v>
      </c>
      <c r="N193" s="77">
        <v>64.281000000000006</v>
      </c>
      <c r="O193" s="77">
        <v>23.3</v>
      </c>
      <c r="P193" s="77">
        <v>3.4660000000000002</v>
      </c>
      <c r="Q193" s="77">
        <v>2.1549999999999998</v>
      </c>
      <c r="R193" s="77">
        <v>2896.913</v>
      </c>
    </row>
    <row r="194" spans="1:18">
      <c r="A194" s="77" t="s">
        <v>149</v>
      </c>
      <c r="B194" s="77" t="s">
        <v>341</v>
      </c>
      <c r="C194" s="98">
        <v>44480</v>
      </c>
      <c r="D194" s="77">
        <v>25957</v>
      </c>
      <c r="E194" s="77">
        <v>723</v>
      </c>
      <c r="F194" s="77">
        <v>422.07600000000002</v>
      </c>
      <c r="G194" s="77">
        <v>11.756</v>
      </c>
      <c r="J194" s="77">
        <v>595938</v>
      </c>
      <c r="L194" s="77">
        <v>560938</v>
      </c>
      <c r="M194" s="77">
        <v>61498438</v>
      </c>
      <c r="N194" s="77">
        <v>64.698999999999998</v>
      </c>
      <c r="O194" s="77">
        <v>17.7</v>
      </c>
      <c r="P194" s="77">
        <v>3.1080000000000001</v>
      </c>
      <c r="Q194" s="77">
        <v>1.8740000000000001</v>
      </c>
      <c r="R194" s="77">
        <v>2683.3040000000001</v>
      </c>
    </row>
    <row r="195" spans="1:18">
      <c r="A195" s="77" t="s">
        <v>145</v>
      </c>
      <c r="B195" s="77" t="s">
        <v>342</v>
      </c>
      <c r="C195" s="98">
        <v>44480</v>
      </c>
      <c r="D195" s="77">
        <v>1720919</v>
      </c>
      <c r="E195" s="77">
        <v>17751</v>
      </c>
      <c r="F195" s="77">
        <v>24601.832999999999</v>
      </c>
      <c r="G195" s="77">
        <v>253.76400000000001</v>
      </c>
      <c r="H195" s="77">
        <v>14201188</v>
      </c>
      <c r="I195" s="77">
        <v>0.223</v>
      </c>
      <c r="J195" s="77">
        <v>59539624</v>
      </c>
      <c r="K195" s="77">
        <v>34782627</v>
      </c>
      <c r="L195" s="77">
        <v>23055555</v>
      </c>
      <c r="M195" s="77">
        <v>69950844</v>
      </c>
      <c r="N195" s="77">
        <v>135.13200000000001</v>
      </c>
      <c r="O195" s="77">
        <v>40.1</v>
      </c>
      <c r="P195" s="77">
        <v>11.372999999999999</v>
      </c>
      <c r="Q195" s="77">
        <v>6.89</v>
      </c>
      <c r="R195" s="77">
        <v>16277.671</v>
      </c>
    </row>
    <row r="196" spans="1:18">
      <c r="A196" s="77" t="s">
        <v>145</v>
      </c>
      <c r="B196" s="77" t="s">
        <v>343</v>
      </c>
      <c r="C196" s="98">
        <v>44480</v>
      </c>
      <c r="D196" s="77">
        <v>19675</v>
      </c>
      <c r="E196" s="77">
        <v>119</v>
      </c>
      <c r="F196" s="77">
        <v>14640.499</v>
      </c>
      <c r="G196" s="77">
        <v>88.55</v>
      </c>
      <c r="H196" s="77">
        <v>209126</v>
      </c>
      <c r="I196" s="77">
        <v>2.5000000000000001E-2</v>
      </c>
      <c r="J196" s="77">
        <v>761656</v>
      </c>
      <c r="K196" s="77">
        <v>468339</v>
      </c>
      <c r="L196" s="77">
        <v>293317</v>
      </c>
      <c r="M196" s="77">
        <v>1343875</v>
      </c>
      <c r="N196" s="77">
        <v>87.176000000000002</v>
      </c>
      <c r="O196" s="77">
        <v>18</v>
      </c>
      <c r="P196" s="77">
        <v>3.556</v>
      </c>
      <c r="Q196" s="77">
        <v>1.897</v>
      </c>
      <c r="R196" s="77">
        <v>6570.1019999999999</v>
      </c>
    </row>
    <row r="197" spans="1:18">
      <c r="A197" s="77" t="s">
        <v>149</v>
      </c>
      <c r="B197" s="77" t="s">
        <v>344</v>
      </c>
      <c r="C197" s="98">
        <v>44480</v>
      </c>
      <c r="D197" s="77">
        <v>25788</v>
      </c>
      <c r="E197" s="77">
        <v>236</v>
      </c>
      <c r="F197" s="77">
        <v>3041.6680000000001</v>
      </c>
      <c r="G197" s="77">
        <v>27.835999999999999</v>
      </c>
      <c r="H197" s="77">
        <v>518580</v>
      </c>
      <c r="I197" s="77">
        <v>3.7999999999999999E-2</v>
      </c>
      <c r="J197" s="77">
        <v>1215025</v>
      </c>
      <c r="K197" s="77">
        <v>805728</v>
      </c>
      <c r="L197" s="77">
        <v>409297</v>
      </c>
      <c r="M197" s="77">
        <v>8478242</v>
      </c>
      <c r="N197" s="77">
        <v>143.36600000000001</v>
      </c>
      <c r="O197" s="77">
        <v>19.399999999999999</v>
      </c>
      <c r="P197" s="77">
        <v>2.839</v>
      </c>
      <c r="Q197" s="77">
        <v>1.5249999999999999</v>
      </c>
      <c r="R197" s="77">
        <v>1429.8130000000001</v>
      </c>
    </row>
    <row r="198" spans="1:18">
      <c r="A198" s="77" t="s">
        <v>160</v>
      </c>
      <c r="B198" s="77" t="s">
        <v>345</v>
      </c>
      <c r="C198" s="98">
        <v>44474</v>
      </c>
      <c r="J198" s="77">
        <v>74503</v>
      </c>
      <c r="K198" s="77">
        <v>46985</v>
      </c>
      <c r="L198" s="77">
        <v>27518</v>
      </c>
      <c r="M198" s="77">
        <v>106759</v>
      </c>
      <c r="N198" s="77">
        <v>150.02799999999999</v>
      </c>
      <c r="O198" s="77">
        <v>22.3</v>
      </c>
      <c r="P198" s="77">
        <v>5.82</v>
      </c>
      <c r="Q198" s="77">
        <v>4.032</v>
      </c>
      <c r="R198" s="77">
        <v>5425.6210000000001</v>
      </c>
    </row>
    <row r="199" spans="1:18">
      <c r="A199" s="77" t="s">
        <v>153</v>
      </c>
      <c r="B199" s="77" t="s">
        <v>346</v>
      </c>
      <c r="C199" s="98">
        <v>44480</v>
      </c>
      <c r="D199" s="77">
        <v>52847</v>
      </c>
      <c r="E199" s="77">
        <v>1555</v>
      </c>
      <c r="F199" s="77">
        <v>37657.103999999999</v>
      </c>
      <c r="G199" s="77">
        <v>1108.0440000000001</v>
      </c>
      <c r="H199" s="77">
        <v>353373</v>
      </c>
      <c r="I199" s="77">
        <v>0.122</v>
      </c>
      <c r="J199" s="77">
        <v>1145835</v>
      </c>
      <c r="K199" s="77">
        <v>597951</v>
      </c>
      <c r="L199" s="77">
        <v>547884</v>
      </c>
      <c r="M199" s="77">
        <v>1403374</v>
      </c>
      <c r="N199" s="77">
        <v>266.88600000000002</v>
      </c>
      <c r="O199" s="77">
        <v>36.200000000000003</v>
      </c>
      <c r="P199" s="77">
        <v>10.013999999999999</v>
      </c>
      <c r="Q199" s="77">
        <v>5.819</v>
      </c>
      <c r="R199" s="77">
        <v>28763.071</v>
      </c>
    </row>
    <row r="200" spans="1:18">
      <c r="A200" s="77" t="s">
        <v>149</v>
      </c>
      <c r="B200" s="77" t="s">
        <v>347</v>
      </c>
      <c r="C200" s="98">
        <v>44480</v>
      </c>
      <c r="D200" s="77">
        <v>709866</v>
      </c>
      <c r="E200" s="77">
        <v>25039</v>
      </c>
      <c r="F200" s="77">
        <v>59473.864000000001</v>
      </c>
      <c r="G200" s="77">
        <v>2097.8130000000001</v>
      </c>
      <c r="H200" s="77">
        <v>2994047</v>
      </c>
      <c r="I200" s="77">
        <v>5.2999999999999999E-2</v>
      </c>
      <c r="J200" s="77">
        <v>8505215</v>
      </c>
      <c r="K200" s="77">
        <v>5294505</v>
      </c>
      <c r="L200" s="77">
        <v>4095504</v>
      </c>
      <c r="M200" s="77">
        <v>11935764</v>
      </c>
      <c r="N200" s="77">
        <v>74.227999999999994</v>
      </c>
      <c r="O200" s="77">
        <v>32.700000000000003</v>
      </c>
      <c r="P200" s="77">
        <v>8.0009999999999994</v>
      </c>
      <c r="Q200" s="77">
        <v>5.0750000000000002</v>
      </c>
      <c r="R200" s="77">
        <v>10849.297</v>
      </c>
    </row>
    <row r="201" spans="1:18">
      <c r="A201" s="77" t="s">
        <v>145</v>
      </c>
      <c r="B201" s="77" t="s">
        <v>348</v>
      </c>
      <c r="C201" s="98">
        <v>44480</v>
      </c>
      <c r="D201" s="77">
        <v>7475085</v>
      </c>
      <c r="E201" s="77">
        <v>66368</v>
      </c>
      <c r="F201" s="77">
        <v>87897.982999999993</v>
      </c>
      <c r="G201" s="77">
        <v>780.40800000000002</v>
      </c>
      <c r="H201" s="77">
        <v>90162700</v>
      </c>
      <c r="I201" s="77">
        <v>8.4000000000000005E-2</v>
      </c>
      <c r="J201" s="99">
        <v>112666626</v>
      </c>
      <c r="K201" s="77">
        <v>54565515</v>
      </c>
      <c r="L201" s="77">
        <v>46435265</v>
      </c>
      <c r="M201" s="77">
        <v>85042736</v>
      </c>
      <c r="N201" s="77">
        <v>104.914</v>
      </c>
      <c r="O201" s="77">
        <v>31.6</v>
      </c>
      <c r="P201" s="77">
        <v>8.1530000000000005</v>
      </c>
      <c r="Q201" s="77">
        <v>5.0609999999999999</v>
      </c>
      <c r="R201" s="77">
        <v>25129.341</v>
      </c>
    </row>
    <row r="202" spans="1:18">
      <c r="A202" s="77" t="s">
        <v>153</v>
      </c>
      <c r="B202" s="77" t="s">
        <v>349</v>
      </c>
      <c r="C202" s="98">
        <v>44477</v>
      </c>
      <c r="J202" s="77">
        <v>54417</v>
      </c>
      <c r="K202" s="77">
        <v>28305</v>
      </c>
      <c r="L202" s="77">
        <v>26112</v>
      </c>
      <c r="M202" s="77">
        <v>39226</v>
      </c>
      <c r="N202" s="77">
        <v>37.311999999999998</v>
      </c>
    </row>
    <row r="203" spans="1:18">
      <c r="A203" s="77" t="s">
        <v>149</v>
      </c>
      <c r="B203" s="77" t="s">
        <v>350</v>
      </c>
      <c r="C203" s="98">
        <v>44480</v>
      </c>
      <c r="D203" s="77">
        <v>124736</v>
      </c>
      <c r="E203" s="77">
        <v>3177</v>
      </c>
      <c r="F203" s="77">
        <v>2647</v>
      </c>
      <c r="G203" s="77">
        <v>67.418999999999997</v>
      </c>
      <c r="H203" s="77">
        <v>1705808</v>
      </c>
      <c r="I203" s="77">
        <v>3.2000000000000001E-2</v>
      </c>
      <c r="J203" s="77">
        <v>2615807</v>
      </c>
      <c r="K203" s="77">
        <v>2200321</v>
      </c>
      <c r="L203" s="77">
        <v>415486</v>
      </c>
      <c r="M203" s="77">
        <v>47123533</v>
      </c>
      <c r="N203" s="77">
        <v>213.75899999999999</v>
      </c>
      <c r="O203" s="77">
        <v>16.399999999999999</v>
      </c>
      <c r="P203" s="77">
        <v>2.1680000000000001</v>
      </c>
      <c r="Q203" s="77">
        <v>1.3080000000000001</v>
      </c>
      <c r="R203" s="77">
        <v>1697.7070000000001</v>
      </c>
    </row>
    <row r="204" spans="1:18">
      <c r="A204" s="77" t="s">
        <v>147</v>
      </c>
      <c r="B204" s="77" t="s">
        <v>351</v>
      </c>
      <c r="C204" s="98">
        <v>44480</v>
      </c>
      <c r="D204" s="77">
        <v>2667304</v>
      </c>
      <c r="E204" s="77">
        <v>62550</v>
      </c>
      <c r="F204" s="77">
        <v>61364.137000000002</v>
      </c>
      <c r="G204" s="77">
        <v>1439.029</v>
      </c>
      <c r="H204" s="77">
        <v>13277259</v>
      </c>
      <c r="I204" s="77">
        <v>0.30599999999999999</v>
      </c>
      <c r="J204" s="77">
        <v>13807133</v>
      </c>
      <c r="K204" s="77">
        <v>7609047</v>
      </c>
      <c r="L204" s="77">
        <v>6198086</v>
      </c>
      <c r="M204" s="77">
        <v>43466822</v>
      </c>
      <c r="N204" s="77">
        <v>77.39</v>
      </c>
      <c r="O204" s="77">
        <v>41.4</v>
      </c>
      <c r="P204" s="77">
        <v>16.462</v>
      </c>
      <c r="Q204" s="77">
        <v>11.132999999999999</v>
      </c>
      <c r="R204" s="77">
        <v>7894.393</v>
      </c>
    </row>
    <row r="205" spans="1:18">
      <c r="A205" s="77" t="s">
        <v>145</v>
      </c>
      <c r="B205" s="77" t="s">
        <v>352</v>
      </c>
      <c r="C205" s="98">
        <v>44480</v>
      </c>
      <c r="D205" s="77">
        <v>737890</v>
      </c>
      <c r="E205" s="77">
        <v>2114</v>
      </c>
      <c r="F205" s="77">
        <v>73854.856</v>
      </c>
      <c r="G205" s="77">
        <v>211.589</v>
      </c>
      <c r="H205" s="77">
        <v>87246490</v>
      </c>
      <c r="I205" s="77">
        <v>0</v>
      </c>
      <c r="J205" s="77">
        <v>20479211</v>
      </c>
      <c r="K205" s="77">
        <v>9445401</v>
      </c>
      <c r="L205" s="77">
        <v>8426682</v>
      </c>
      <c r="M205" s="77">
        <v>9991083</v>
      </c>
      <c r="N205" s="77">
        <v>112.44199999999999</v>
      </c>
      <c r="O205" s="77">
        <v>34</v>
      </c>
      <c r="P205" s="77">
        <v>1.1439999999999999</v>
      </c>
      <c r="Q205" s="77">
        <v>0.52600000000000002</v>
      </c>
      <c r="R205" s="77">
        <v>67293.482999999993</v>
      </c>
    </row>
    <row r="206" spans="1:18">
      <c r="A206" s="77" t="s">
        <v>147</v>
      </c>
      <c r="B206" s="77" t="s">
        <v>353</v>
      </c>
      <c r="C206" s="98">
        <v>44480</v>
      </c>
      <c r="D206" s="77">
        <v>8232327</v>
      </c>
      <c r="E206" s="77">
        <v>138167</v>
      </c>
      <c r="F206" s="77">
        <v>120696.01700000001</v>
      </c>
      <c r="G206" s="77">
        <v>2025.6980000000001</v>
      </c>
      <c r="H206" s="77">
        <v>283376305</v>
      </c>
      <c r="I206" s="77">
        <v>0.04</v>
      </c>
      <c r="J206" s="77">
        <v>94376101</v>
      </c>
      <c r="K206" s="77">
        <v>49186920</v>
      </c>
      <c r="L206" s="77">
        <v>45189181</v>
      </c>
      <c r="M206" s="77">
        <v>68207114</v>
      </c>
      <c r="N206" s="77">
        <v>272.89800000000002</v>
      </c>
      <c r="O206" s="77">
        <v>40.799999999999997</v>
      </c>
      <c r="P206" s="77">
        <v>18.516999999999999</v>
      </c>
      <c r="Q206" s="77">
        <v>12.526999999999999</v>
      </c>
      <c r="R206" s="77">
        <v>39753.243999999999</v>
      </c>
    </row>
    <row r="207" spans="1:18">
      <c r="A207" s="77" t="s">
        <v>153</v>
      </c>
      <c r="B207" s="77" t="s">
        <v>354</v>
      </c>
      <c r="C207" s="98">
        <v>44480</v>
      </c>
      <c r="D207" s="77">
        <v>44455949</v>
      </c>
      <c r="E207" s="77">
        <v>714055</v>
      </c>
      <c r="F207" s="77">
        <v>133535.40400000001</v>
      </c>
      <c r="G207" s="77">
        <v>2144.8560000000002</v>
      </c>
      <c r="H207" s="77">
        <v>592381867</v>
      </c>
      <c r="I207" s="77">
        <v>7.6999999999999999E-2</v>
      </c>
      <c r="J207" s="77">
        <v>401819240</v>
      </c>
      <c r="K207" s="77">
        <v>216889814</v>
      </c>
      <c r="L207" s="77">
        <v>187215471</v>
      </c>
      <c r="M207" s="77">
        <v>332915074</v>
      </c>
      <c r="N207" s="77">
        <v>35.607999999999997</v>
      </c>
      <c r="O207" s="77">
        <v>38.299999999999997</v>
      </c>
      <c r="P207" s="77">
        <v>15.413</v>
      </c>
      <c r="Q207" s="77">
        <v>9.7319999999999993</v>
      </c>
      <c r="R207" s="77">
        <v>54225.446000000004</v>
      </c>
    </row>
    <row r="208" spans="1:18">
      <c r="A208" s="77" t="s">
        <v>156</v>
      </c>
      <c r="B208" s="77" t="s">
        <v>355</v>
      </c>
      <c r="C208" s="98">
        <v>44480</v>
      </c>
      <c r="D208" s="77">
        <v>390115</v>
      </c>
      <c r="E208" s="77">
        <v>6064</v>
      </c>
      <c r="F208" s="77">
        <v>111936.29399999999</v>
      </c>
      <c r="G208" s="77">
        <v>1739.953</v>
      </c>
      <c r="H208" s="77">
        <v>3635691</v>
      </c>
      <c r="I208" s="77">
        <v>1.4999999999999999E-2</v>
      </c>
      <c r="J208" s="77">
        <v>6404740</v>
      </c>
      <c r="K208" s="77">
        <v>2743915</v>
      </c>
      <c r="L208" s="77">
        <v>2598784</v>
      </c>
      <c r="M208" s="77">
        <v>3485152</v>
      </c>
      <c r="N208" s="77">
        <v>19.751000000000001</v>
      </c>
      <c r="O208" s="77">
        <v>35.6</v>
      </c>
      <c r="P208" s="77">
        <v>14.654999999999999</v>
      </c>
      <c r="Q208" s="77">
        <v>10.361000000000001</v>
      </c>
      <c r="R208" s="77">
        <v>20551.409</v>
      </c>
    </row>
    <row r="209" spans="1:18">
      <c r="A209" s="77" t="s">
        <v>145</v>
      </c>
      <c r="B209" s="77" t="s">
        <v>356</v>
      </c>
      <c r="C209" s="98">
        <v>44480</v>
      </c>
      <c r="D209" s="77">
        <v>178637</v>
      </c>
      <c r="E209" s="77">
        <v>1271</v>
      </c>
      <c r="F209" s="77">
        <v>5263.9740000000002</v>
      </c>
      <c r="G209" s="77">
        <v>37.453000000000003</v>
      </c>
      <c r="J209" s="77">
        <v>21978290</v>
      </c>
      <c r="K209" s="77">
        <v>12025985</v>
      </c>
      <c r="L209" s="77">
        <v>4941860</v>
      </c>
      <c r="M209" s="77">
        <v>33935765</v>
      </c>
      <c r="N209" s="77">
        <v>76.134</v>
      </c>
      <c r="O209" s="77">
        <v>28.2</v>
      </c>
      <c r="P209" s="77">
        <v>4.4690000000000003</v>
      </c>
      <c r="Q209" s="77">
        <v>2.8730000000000002</v>
      </c>
      <c r="R209" s="77">
        <v>6253.1040000000003</v>
      </c>
    </row>
    <row r="210" spans="1:18">
      <c r="A210" s="77" t="s">
        <v>160</v>
      </c>
      <c r="B210" s="77" t="s">
        <v>357</v>
      </c>
      <c r="C210" s="98">
        <v>44480</v>
      </c>
      <c r="D210" s="77">
        <v>4</v>
      </c>
      <c r="E210" s="77">
        <v>1</v>
      </c>
      <c r="F210" s="77">
        <v>12.72</v>
      </c>
      <c r="G210" s="77">
        <v>3.18</v>
      </c>
      <c r="J210" s="77">
        <v>73744</v>
      </c>
      <c r="K210" s="77">
        <v>49639</v>
      </c>
      <c r="L210" s="77">
        <v>24105</v>
      </c>
      <c r="M210" s="77">
        <v>314464</v>
      </c>
      <c r="N210" s="77">
        <v>22.661999999999999</v>
      </c>
      <c r="O210" s="77">
        <v>23.1</v>
      </c>
      <c r="P210" s="77">
        <v>4.3940000000000001</v>
      </c>
      <c r="Q210" s="77">
        <v>2.62</v>
      </c>
      <c r="R210" s="77">
        <v>2921.9090000000001</v>
      </c>
    </row>
    <row r="211" spans="1:18">
      <c r="A211" s="77" t="s">
        <v>147</v>
      </c>
      <c r="B211" s="77" t="s">
        <v>358</v>
      </c>
      <c r="C211" s="98">
        <v>44480</v>
      </c>
      <c r="D211" s="77">
        <v>27</v>
      </c>
      <c r="F211" s="77">
        <v>33251.232000000004</v>
      </c>
      <c r="M211" s="77">
        <v>812</v>
      </c>
    </row>
    <row r="212" spans="1:18">
      <c r="A212" s="77" t="s">
        <v>156</v>
      </c>
      <c r="B212" s="77" t="s">
        <v>359</v>
      </c>
      <c r="C212" s="98">
        <v>44480</v>
      </c>
      <c r="D212" s="77">
        <v>384668</v>
      </c>
      <c r="E212" s="77">
        <v>4634</v>
      </c>
      <c r="F212" s="77">
        <v>13400.755999999999</v>
      </c>
      <c r="G212" s="77">
        <v>161.43600000000001</v>
      </c>
      <c r="J212" s="77">
        <v>16127242</v>
      </c>
      <c r="K212" s="77">
        <v>9926613</v>
      </c>
      <c r="L212" s="77">
        <v>6190629</v>
      </c>
      <c r="M212" s="77">
        <v>28704947</v>
      </c>
      <c r="N212" s="77">
        <v>36.253</v>
      </c>
      <c r="O212" s="77">
        <v>29</v>
      </c>
      <c r="P212" s="77">
        <v>6.6139999999999999</v>
      </c>
      <c r="Q212" s="77">
        <v>3.915</v>
      </c>
      <c r="R212" s="77">
        <v>16745.022000000001</v>
      </c>
    </row>
    <row r="213" spans="1:18">
      <c r="A213" s="77" t="s">
        <v>145</v>
      </c>
      <c r="B213" s="77" t="s">
        <v>360</v>
      </c>
      <c r="C213" s="98">
        <v>44480</v>
      </c>
      <c r="D213" s="77">
        <v>843281</v>
      </c>
      <c r="E213" s="77">
        <v>20670</v>
      </c>
      <c r="F213" s="77">
        <v>8590.11</v>
      </c>
      <c r="G213" s="77">
        <v>210.55600000000001</v>
      </c>
      <c r="H213" s="77">
        <v>24871501</v>
      </c>
      <c r="I213" s="77">
        <v>5.5E-2</v>
      </c>
      <c r="J213" s="77">
        <v>54279564</v>
      </c>
      <c r="K213" s="77">
        <v>38698136</v>
      </c>
      <c r="L213" s="77">
        <v>15581428</v>
      </c>
      <c r="M213" s="77">
        <v>98168829</v>
      </c>
      <c r="N213" s="77">
        <v>308.12700000000001</v>
      </c>
      <c r="O213" s="77">
        <v>32.6</v>
      </c>
      <c r="P213" s="77">
        <v>7.15</v>
      </c>
      <c r="Q213" s="77">
        <v>4.718</v>
      </c>
      <c r="R213" s="77">
        <v>6171.884</v>
      </c>
    </row>
    <row r="214" spans="1:18">
      <c r="A214" s="77" t="s">
        <v>160</v>
      </c>
      <c r="B214" s="77" t="s">
        <v>361</v>
      </c>
      <c r="C214" s="98">
        <v>44474</v>
      </c>
      <c r="J214" s="77">
        <v>10843</v>
      </c>
      <c r="K214" s="77">
        <v>5679</v>
      </c>
      <c r="L214" s="77">
        <v>5164</v>
      </c>
      <c r="M214" s="77">
        <v>11094</v>
      </c>
    </row>
    <row r="215" spans="1:18">
      <c r="A215" s="77" t="s">
        <v>145</v>
      </c>
      <c r="B215" s="77" t="s">
        <v>362</v>
      </c>
      <c r="C215" s="98">
        <v>44480</v>
      </c>
      <c r="D215" s="77">
        <v>9402</v>
      </c>
      <c r="E215" s="77">
        <v>1782</v>
      </c>
      <c r="F215" s="77">
        <v>308.35700000000003</v>
      </c>
      <c r="G215" s="77">
        <v>58.444000000000003</v>
      </c>
      <c r="M215" s="77">
        <v>30490639</v>
      </c>
      <c r="N215" s="77">
        <v>53.508000000000003</v>
      </c>
      <c r="O215" s="77">
        <v>20.3</v>
      </c>
      <c r="P215" s="77">
        <v>2.9220000000000002</v>
      </c>
      <c r="Q215" s="77">
        <v>1.583</v>
      </c>
      <c r="R215" s="77">
        <v>1479.1469999999999</v>
      </c>
    </row>
    <row r="216" spans="1:18">
      <c r="A216" s="77" t="s">
        <v>149</v>
      </c>
      <c r="B216" s="77" t="s">
        <v>363</v>
      </c>
      <c r="C216" s="98">
        <v>44480</v>
      </c>
      <c r="D216" s="77">
        <v>209353</v>
      </c>
      <c r="E216" s="77">
        <v>3654</v>
      </c>
      <c r="F216" s="77">
        <v>11064.785</v>
      </c>
      <c r="G216" s="77">
        <v>193.12200000000001</v>
      </c>
      <c r="H216" s="77">
        <v>2509600</v>
      </c>
      <c r="I216" s="77">
        <v>5.0000000000000001E-3</v>
      </c>
      <c r="J216" s="77">
        <v>802043</v>
      </c>
      <c r="L216" s="77">
        <v>462835</v>
      </c>
      <c r="M216" s="77">
        <v>18920657</v>
      </c>
      <c r="N216" s="77">
        <v>22.995000000000001</v>
      </c>
      <c r="O216" s="77">
        <v>17.7</v>
      </c>
      <c r="P216" s="77">
        <v>2.48</v>
      </c>
      <c r="Q216" s="77">
        <v>1.542</v>
      </c>
      <c r="R216" s="77">
        <v>3689.2510000000002</v>
      </c>
    </row>
    <row r="217" spans="1:18">
      <c r="A217" s="77" t="s">
        <v>149</v>
      </c>
      <c r="B217" s="77" t="s">
        <v>364</v>
      </c>
      <c r="C217" s="98">
        <v>44480</v>
      </c>
      <c r="D217" s="77">
        <v>131875</v>
      </c>
      <c r="E217" s="77">
        <v>4643</v>
      </c>
      <c r="F217" s="77">
        <v>8737.9740000000002</v>
      </c>
      <c r="G217" s="77">
        <v>307.64299999999997</v>
      </c>
      <c r="H217" s="77">
        <v>1288436</v>
      </c>
      <c r="I217" s="77">
        <v>3.7999999999999999E-2</v>
      </c>
      <c r="J217" s="77">
        <v>5594808</v>
      </c>
      <c r="K217" s="77">
        <v>3176445</v>
      </c>
      <c r="L217" s="77">
        <v>2418363</v>
      </c>
      <c r="M217" s="77">
        <v>15092171</v>
      </c>
      <c r="N217" s="77">
        <v>42.728999999999999</v>
      </c>
      <c r="O217" s="77">
        <v>19.600000000000001</v>
      </c>
      <c r="P217" s="77">
        <v>2.8220000000000001</v>
      </c>
      <c r="Q217" s="77">
        <v>1.8819999999999999</v>
      </c>
      <c r="R217" s="77">
        <v>1899.7750000000001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Column Chart Ex1</vt:lpstr>
      <vt:lpstr>Dynamic Chart</vt:lpstr>
      <vt:lpstr>Line Chart</vt:lpstr>
      <vt:lpstr>Secondary Axis</vt:lpstr>
      <vt:lpstr>Pie Chart</vt:lpstr>
      <vt:lpstr>Combo Chart</vt:lpstr>
      <vt:lpstr>Half-Circle-KPI</vt:lpstr>
      <vt:lpstr>Progress circle chart KPI</vt:lpstr>
      <vt:lpstr>Column Chart Ex2</vt:lpstr>
      <vt:lpstr>Bar Chart</vt:lpstr>
      <vt:lpstr>3D Line chart</vt:lpstr>
      <vt:lpstr>Thermometer Chart</vt:lpstr>
      <vt:lpstr>Sheet1</vt:lpstr>
      <vt:lpstr>Speedometer</vt:lpstr>
      <vt:lpstr>Sheet2</vt:lpstr>
      <vt:lpstr>Funnel chart</vt:lpstr>
      <vt:lpstr>Combobox</vt:lpstr>
      <vt:lpstr>Combobox Practice)</vt:lpstr>
      <vt:lpstr>Covid - 19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Vinod Kumar Peddi</cp:lastModifiedBy>
  <dcterms:created xsi:type="dcterms:W3CDTF">2022-05-19T00:59:54Z</dcterms:created>
  <dcterms:modified xsi:type="dcterms:W3CDTF">2026-09-03T13:12:22Z</dcterms:modified>
</cp:coreProperties>
</file>